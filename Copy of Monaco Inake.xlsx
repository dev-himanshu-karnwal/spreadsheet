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https://trno-my.sharepoint.com/personal/bparks_truenorthcompanies_com/Documents/##DEAL FOLDERS/Adam Berger/Monaco/"/>
    </mc:Choice>
  </mc:AlternateContent>
  <xr:revisionPtr revIDLastSave="0" documentId="8_{09C7BE0D-F896-4932-ACA3-A17A418116C3}" xr6:coauthVersionLast="47" xr6:coauthVersionMax="47" xr10:uidLastSave="{00000000-0000-0000-0000-000000000000}"/>
  <bookViews>
    <workbookView xWindow="-108" yWindow="-108" windowWidth="23256" windowHeight="12456" tabRatio="849" firstSheet="1" activeTab="1" xr2:uid="{00000000-000D-0000-FFFF-FFFF00000000}"/>
  </bookViews>
  <sheets>
    <sheet name="Company Info" sheetId="9" r:id="rId1"/>
    <sheet name="Property" sheetId="5" r:id="rId2"/>
    <sheet name="GL" sheetId="3" r:id="rId3"/>
    <sheet name="Umbrella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B13" i="5"/>
  <c r="D14" i="5"/>
  <c r="E14" i="5"/>
  <c r="B12" i="5"/>
  <c r="F12" i="5" l="1"/>
  <c r="F14" i="5" s="1"/>
  <c r="C14" i="5"/>
</calcChain>
</file>

<file path=xl/sharedStrings.xml><?xml version="1.0" encoding="utf-8"?>
<sst xmlns="http://schemas.openxmlformats.org/spreadsheetml/2006/main" count="91" uniqueCount="73">
  <si>
    <t>Name</t>
  </si>
  <si>
    <t>3699 South Monaco, LLC</t>
  </si>
  <si>
    <t>Effective Date</t>
  </si>
  <si>
    <t>Need By Date</t>
  </si>
  <si>
    <t>ASAP</t>
  </si>
  <si>
    <t>FEIN</t>
  </si>
  <si>
    <t>Address</t>
  </si>
  <si>
    <t>1480 Humboldt Street, Denver, CO 80218</t>
  </si>
  <si>
    <t>Office Phone</t>
  </si>
  <si>
    <t>Website</t>
  </si>
  <si>
    <t>Description of Ops</t>
  </si>
  <si>
    <t>Apartment</t>
  </si>
  <si>
    <t>Contact Information</t>
  </si>
  <si>
    <t>Cell</t>
  </si>
  <si>
    <t>Email</t>
  </si>
  <si>
    <t>Audit Contact</t>
  </si>
  <si>
    <t>Loss Control Contact</t>
  </si>
  <si>
    <t>Adam Berger</t>
  </si>
  <si>
    <t>720-568-0033</t>
  </si>
  <si>
    <t>adam@adamberger.com</t>
  </si>
  <si>
    <t>Claims Contact</t>
  </si>
  <si>
    <t>Named Insured</t>
  </si>
  <si>
    <t>Description</t>
  </si>
  <si>
    <t>Revenue</t>
  </si>
  <si>
    <t>Locations</t>
  </si>
  <si>
    <t>1</t>
  </si>
  <si>
    <t>3699 South Monaco Parkway, Denver, CO 80237</t>
  </si>
  <si>
    <t>Property</t>
  </si>
  <si>
    <t>Blanket</t>
  </si>
  <si>
    <t>Coin</t>
  </si>
  <si>
    <t>Valuation</t>
  </si>
  <si>
    <t>Replacement Cost</t>
  </si>
  <si>
    <t>Type</t>
  </si>
  <si>
    <t>Deductible</t>
  </si>
  <si>
    <t>Fire Life Safety</t>
  </si>
  <si>
    <t>50% Sprinklered (Common Areas), Illuminated Exit Signs, Emergency Lighting, Hard-Wired Smoke Detectors, Manual Pull Alarms, Central Station Alarm, 24-Hour Monitoring Security Camera</t>
  </si>
  <si>
    <t>Coverage</t>
  </si>
  <si>
    <t>Loc</t>
  </si>
  <si>
    <t>Bldg</t>
  </si>
  <si>
    <t>Building Cov</t>
  </si>
  <si>
    <t>BPP</t>
  </si>
  <si>
    <t>Business Income</t>
  </si>
  <si>
    <t>ITV</t>
  </si>
  <si>
    <t>Year Built</t>
  </si>
  <si>
    <t>Desc</t>
  </si>
  <si>
    <t>Sqft</t>
  </si>
  <si>
    <t>Price Per SqFt</t>
  </si>
  <si>
    <t>Units</t>
  </si>
  <si>
    <t>Construction Type</t>
  </si>
  <si>
    <t>HVAC</t>
  </si>
  <si>
    <t>Roof</t>
  </si>
  <si>
    <t>Electric</t>
  </si>
  <si>
    <t>Plumb</t>
  </si>
  <si>
    <t>Frame</t>
  </si>
  <si>
    <t>General Liabiltiy</t>
  </si>
  <si>
    <t>GL Limits</t>
  </si>
  <si>
    <t>$1 mill / $2 mill</t>
  </si>
  <si>
    <t>Fire Legal</t>
  </si>
  <si>
    <t>Ded</t>
  </si>
  <si>
    <t>EBL</t>
  </si>
  <si>
    <t>Hazards</t>
  </si>
  <si>
    <t>Location</t>
  </si>
  <si>
    <t>Class Code</t>
  </si>
  <si>
    <t>Exposure</t>
  </si>
  <si>
    <t>Prem Basis</t>
  </si>
  <si>
    <t>U</t>
  </si>
  <si>
    <t>Pool</t>
  </si>
  <si>
    <t>Umbrella Liability</t>
  </si>
  <si>
    <t>Limit</t>
  </si>
  <si>
    <t>Underyling Coverage</t>
  </si>
  <si>
    <t>CGL</t>
  </si>
  <si>
    <t>BA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</si>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</sst>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0_);[Red]\(0\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6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6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/>
    <xf numFmtId="3" fontId="0" fillId="0" borderId="1" xfId="0" applyNumberFormat="1" applyBorder="1"/>
    <xf numFmtId="6" fontId="1" fillId="0" borderId="1" xfId="0" applyNumberFormat="1" applyFont="1" applyBorder="1"/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2" fillId="0" borderId="1" xfId="1" applyBorder="1"/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1" xfId="0" applyFont="1" applyBorder="1"/>
    <xf numFmtId="0" fontId="7" fillId="0" borderId="1" xfId="1" applyFont="1" applyBorder="1"/>
    <xf numFmtId="0" fontId="5" fillId="0" borderId="1" xfId="0" applyFont="1" applyBorder="1" applyAlignment="1">
      <alignment horizontal="left" indent="4"/>
    </xf>
    <xf numFmtId="49" fontId="5" fillId="0" borderId="1" xfId="0" applyNumberFormat="1" applyFont="1" applyBorder="1"/>
    <xf numFmtId="49" fontId="4" fillId="0" borderId="1" xfId="0" applyNumberFormat="1" applyFont="1" applyBorder="1"/>
    <xf numFmtId="20" fontId="4" fillId="0" borderId="1" xfId="0" applyNumberFormat="1" applyFont="1" applyBorder="1"/>
    <xf numFmtId="49" fontId="4" fillId="0" borderId="0" xfId="0" applyNumberFormat="1" applyFont="1"/>
    <xf numFmtId="20" fontId="4" fillId="0" borderId="0" xfId="0" applyNumberFormat="1" applyFont="1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left" wrapText="1"/>
    </xf>
    <xf numFmtId="165" fontId="0" fillId="0" borderId="1" xfId="0" applyNumberFormat="1" applyBorder="1"/>
    <xf numFmtId="164" fontId="1" fillId="0" borderId="0" xfId="0" applyNumberFormat="1" applyFont="1" applyAlignment="1">
      <alignment horizontal="center"/>
    </xf>
    <xf numFmtId="6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@adamberg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24" sqref="B24"/>
    </sheetView>
  </sheetViews>
  <sheetFormatPr defaultRowHeight="14.25" customHeight="1"/>
  <cols>
    <col min="1" max="1" width="38.5703125" bestFit="1" customWidth="1"/>
    <col min="2" max="2" width="49.140625" bestFit="1" customWidth="1"/>
    <col min="3" max="3" width="28" bestFit="1" customWidth="1"/>
    <col min="4" max="4" width="34.85546875" bestFit="1" customWidth="1"/>
  </cols>
  <sheetData>
    <row r="1" spans="1:4" ht="14.25" customHeight="1">
      <c r="A1" s="27" t="s">
        <v>0</v>
      </c>
      <c r="B1" s="28" t="s">
        <v>1</v>
      </c>
      <c r="C1" s="31"/>
      <c r="D1" s="31"/>
    </row>
    <row r="2" spans="1:4" ht="14.25" customHeight="1">
      <c r="A2" s="27" t="s">
        <v>2</v>
      </c>
      <c r="B2" s="29">
        <v>45853</v>
      </c>
      <c r="C2" s="31"/>
      <c r="D2" s="31"/>
    </row>
    <row r="3" spans="1:4" ht="14.25" customHeight="1">
      <c r="A3" s="27" t="s">
        <v>3</v>
      </c>
      <c r="B3" s="29" t="s">
        <v>4</v>
      </c>
      <c r="C3" s="31"/>
      <c r="D3" s="31"/>
    </row>
    <row r="4" spans="1:4" ht="14.25" customHeight="1">
      <c r="A4" s="28" t="s">
        <v>5</v>
      </c>
      <c r="B4" s="28"/>
      <c r="C4" s="30"/>
      <c r="D4" s="30"/>
    </row>
    <row r="5" spans="1:4" ht="14.25" customHeight="1">
      <c r="A5" s="28" t="s">
        <v>6</v>
      </c>
      <c r="B5" s="28" t="s">
        <v>7</v>
      </c>
      <c r="C5" s="30"/>
      <c r="D5" s="30"/>
    </row>
    <row r="6" spans="1:4" ht="14.25" customHeight="1">
      <c r="A6" s="28" t="s">
        <v>8</v>
      </c>
      <c r="B6" s="32"/>
      <c r="C6" s="30"/>
      <c r="D6" s="30"/>
    </row>
    <row r="7" spans="1:4" ht="14.25" customHeight="1">
      <c r="A7" s="28" t="s">
        <v>9</v>
      </c>
      <c r="B7" s="33"/>
      <c r="C7" s="30"/>
      <c r="D7" s="30"/>
    </row>
    <row r="8" spans="1:4" ht="14.25" customHeight="1">
      <c r="A8" s="28" t="s">
        <v>10</v>
      </c>
      <c r="B8" s="28" t="s">
        <v>11</v>
      </c>
      <c r="C8" s="30"/>
      <c r="D8" s="30"/>
    </row>
    <row r="9" spans="1:4" ht="14.25" customHeight="1">
      <c r="A9" s="30"/>
      <c r="B9" s="30"/>
      <c r="C9" s="30"/>
      <c r="D9" s="30"/>
    </row>
    <row r="10" spans="1:4" ht="14.25" customHeight="1">
      <c r="A10" s="28" t="s">
        <v>12</v>
      </c>
      <c r="B10" s="28" t="s">
        <v>0</v>
      </c>
      <c r="C10" s="28" t="s">
        <v>13</v>
      </c>
      <c r="D10" s="28" t="s">
        <v>14</v>
      </c>
    </row>
    <row r="11" spans="1:4" ht="14.25" customHeight="1">
      <c r="A11" s="34" t="s">
        <v>15</v>
      </c>
      <c r="B11" s="28"/>
      <c r="C11" s="32"/>
      <c r="D11" s="26"/>
    </row>
    <row r="12" spans="1:4" ht="14.25" customHeight="1">
      <c r="A12" s="34" t="s">
        <v>16</v>
      </c>
      <c r="B12" s="28" t="s">
        <v>17</v>
      </c>
      <c r="C12" s="32" t="s">
        <v>18</v>
      </c>
      <c r="D12" s="26" t="s">
        <v>19</v>
      </c>
    </row>
    <row r="13" spans="1:4" ht="14.25" customHeight="1">
      <c r="A13" s="34" t="s">
        <v>20</v>
      </c>
      <c r="B13" s="28"/>
      <c r="C13" s="32"/>
      <c r="D13" s="26"/>
    </row>
    <row r="14" spans="1:4" ht="14.25" customHeight="1">
      <c r="A14" s="30"/>
      <c r="B14" s="30"/>
      <c r="C14" s="30"/>
      <c r="D14" s="30"/>
    </row>
    <row r="15" spans="1:4" ht="14.25" customHeight="1">
      <c r="A15" s="28" t="s">
        <v>21</v>
      </c>
      <c r="B15" s="28" t="s">
        <v>5</v>
      </c>
      <c r="C15" s="28" t="s">
        <v>22</v>
      </c>
      <c r="D15" s="28" t="s">
        <v>23</v>
      </c>
    </row>
    <row r="16" spans="1:4" ht="14.25" customHeight="1">
      <c r="A16" s="28"/>
      <c r="B16" s="28"/>
      <c r="C16" s="28"/>
      <c r="D16" s="28"/>
    </row>
    <row r="17" spans="1:4" ht="14.25" customHeight="1">
      <c r="A17" s="28"/>
      <c r="B17" s="28"/>
      <c r="C17" s="28"/>
      <c r="D17" s="28"/>
    </row>
    <row r="18" spans="1:4" ht="14.25" customHeight="1">
      <c r="A18" s="28"/>
      <c r="B18" s="28"/>
      <c r="C18" s="28"/>
      <c r="D18" s="28"/>
    </row>
    <row r="19" spans="1:4" ht="14.25" customHeight="1">
      <c r="A19" s="28"/>
      <c r="B19" s="28"/>
      <c r="C19" s="28"/>
      <c r="D19" s="28"/>
    </row>
    <row r="20" spans="1:4" ht="14.25" customHeight="1">
      <c r="A20" s="30"/>
      <c r="B20" s="30"/>
      <c r="C20" s="30"/>
      <c r="D20" s="30"/>
    </row>
    <row r="21" spans="1:4" s="3" customFormat="1" ht="14.25" customHeight="1">
      <c r="A21" s="28" t="s">
        <v>24</v>
      </c>
      <c r="B21" s="28" t="s">
        <v>6</v>
      </c>
      <c r="C21" s="28" t="s">
        <v>22</v>
      </c>
      <c r="D21" s="30"/>
    </row>
    <row r="22" spans="1:4" ht="14.25" customHeight="1">
      <c r="A22" s="35" t="s">
        <v>25</v>
      </c>
      <c r="B22" s="27" t="s">
        <v>26</v>
      </c>
      <c r="C22" s="28" t="s">
        <v>11</v>
      </c>
      <c r="D22" s="30"/>
    </row>
    <row r="23" spans="1:4" ht="14.25" customHeight="1">
      <c r="A23" s="36" t="s">
        <v>25</v>
      </c>
      <c r="B23" s="27" t="s">
        <v>26</v>
      </c>
      <c r="C23" s="28" t="s">
        <v>11</v>
      </c>
      <c r="D23" s="31"/>
    </row>
    <row r="24" spans="1:4" ht="14.25" customHeight="1">
      <c r="A24" s="35"/>
      <c r="B24" s="27"/>
      <c r="C24" s="27"/>
      <c r="D24" s="31"/>
    </row>
    <row r="25" spans="1:4" ht="14.25" customHeight="1">
      <c r="A25" s="36"/>
      <c r="B25" s="37"/>
      <c r="C25" s="27"/>
      <c r="D25" s="31"/>
    </row>
    <row r="26" spans="1:4" ht="14.25" customHeight="1">
      <c r="A26" s="36"/>
      <c r="B26" s="37"/>
      <c r="C26" s="27"/>
      <c r="D26" s="31"/>
    </row>
    <row r="27" spans="1:4" ht="14.25" customHeight="1">
      <c r="A27" s="38"/>
      <c r="B27" s="39"/>
      <c r="C27" s="31"/>
      <c r="D27" s="31"/>
    </row>
  </sheetData>
  <phoneticPr fontId="3" type="noConversion"/>
  <hyperlinks>
    <hyperlink ref="D12" r:id="rId1" xr:uid="{1638846E-87FE-45DC-AED0-1217868098E3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tabSelected="1" workbookViewId="0">
      <selection activeCell="A14" sqref="A14"/>
    </sheetView>
  </sheetViews>
  <sheetFormatPr defaultColWidth="9.140625" defaultRowHeight="14.45"/>
  <cols>
    <col min="1" max="1" width="34.7109375" style="4" bestFit="1" customWidth="1"/>
    <col min="2" max="2" width="43.42578125" style="4" bestFit="1" customWidth="1"/>
    <col min="3" max="3" width="17.28515625" style="4" customWidth="1"/>
    <col min="4" max="4" width="27" style="4" customWidth="1"/>
    <col min="5" max="5" width="15.85546875" style="4" bestFit="1" customWidth="1"/>
    <col min="6" max="6" width="15.85546875" style="4" customWidth="1"/>
    <col min="7" max="7" width="10.140625" style="4" bestFit="1" customWidth="1"/>
    <col min="8" max="8" width="20.5703125" style="4" bestFit="1" customWidth="1"/>
    <col min="9" max="9" width="9.7109375" style="4" customWidth="1"/>
    <col min="10" max="10" width="13.28515625" style="4" bestFit="1" customWidth="1"/>
    <col min="11" max="11" width="9.7109375" style="4" customWidth="1"/>
    <col min="12" max="12" width="17.28515625" style="4" bestFit="1" customWidth="1"/>
    <col min="13" max="16384" width="9.140625" style="4"/>
  </cols>
  <sheetData>
    <row r="1" spans="1:16">
      <c r="A1" s="9" t="s">
        <v>27</v>
      </c>
      <c r="C1" s="9"/>
      <c r="E1" s="9"/>
      <c r="F1" s="9"/>
    </row>
    <row r="2" spans="1:16">
      <c r="A2" s="9"/>
      <c r="C2" s="9"/>
    </row>
    <row r="3" spans="1:16">
      <c r="A3" s="14" t="s">
        <v>28</v>
      </c>
      <c r="B3" s="15" t="s">
        <v>28</v>
      </c>
      <c r="C3" s="9"/>
      <c r="E3" s="9"/>
      <c r="F3" s="9"/>
    </row>
    <row r="4" spans="1:16">
      <c r="A4" s="14" t="s">
        <v>29</v>
      </c>
      <c r="B4" s="16"/>
      <c r="C4" s="9"/>
      <c r="D4" s="5"/>
      <c r="E4" s="5"/>
      <c r="F4" s="5"/>
    </row>
    <row r="5" spans="1:16">
      <c r="A5" s="14" t="s">
        <v>30</v>
      </c>
      <c r="B5" s="15" t="s">
        <v>31</v>
      </c>
      <c r="C5" s="9"/>
    </row>
    <row r="6" spans="1:16">
      <c r="A6" s="14" t="s">
        <v>32</v>
      </c>
      <c r="B6" s="17"/>
      <c r="C6" s="9"/>
      <c r="D6" s="6"/>
      <c r="E6" s="6"/>
      <c r="F6" s="6"/>
    </row>
    <row r="7" spans="1:16">
      <c r="A7" s="14" t="s">
        <v>33</v>
      </c>
      <c r="B7" s="17">
        <v>25000</v>
      </c>
      <c r="C7" s="9"/>
      <c r="D7" s="6"/>
      <c r="E7" s="6"/>
      <c r="F7" s="6"/>
    </row>
    <row r="8" spans="1:16" ht="57.6">
      <c r="A8" s="14" t="s">
        <v>34</v>
      </c>
      <c r="B8" s="42" t="s">
        <v>35</v>
      </c>
      <c r="C8" s="9"/>
      <c r="D8" s="6"/>
      <c r="E8" s="6"/>
      <c r="F8" s="6"/>
    </row>
    <row r="9" spans="1:16">
      <c r="B9" s="6"/>
      <c r="C9" s="6"/>
    </row>
    <row r="10" spans="1:16">
      <c r="A10" s="9" t="s">
        <v>36</v>
      </c>
      <c r="B10" s="6"/>
      <c r="C10" s="6"/>
    </row>
    <row r="11" spans="1:16" s="9" customFormat="1">
      <c r="A11" s="18" t="s">
        <v>37</v>
      </c>
      <c r="B11" s="18" t="s">
        <v>38</v>
      </c>
      <c r="C11" s="18" t="s">
        <v>39</v>
      </c>
      <c r="D11" s="18" t="s">
        <v>40</v>
      </c>
      <c r="E11" s="18" t="s">
        <v>41</v>
      </c>
      <c r="F11" s="18" t="s">
        <v>42</v>
      </c>
      <c r="G11" s="18" t="s">
        <v>43</v>
      </c>
      <c r="H11" s="18" t="s">
        <v>44</v>
      </c>
      <c r="I11" s="18" t="s">
        <v>45</v>
      </c>
      <c r="J11" s="18" t="s">
        <v>46</v>
      </c>
      <c r="K11" s="18" t="s">
        <v>47</v>
      </c>
      <c r="L11" s="18" t="s">
        <v>48</v>
      </c>
      <c r="M11" s="18" t="s">
        <v>49</v>
      </c>
      <c r="N11" s="18" t="s">
        <v>50</v>
      </c>
      <c r="O11" s="18" t="s">
        <v>51</v>
      </c>
      <c r="P11" s="18" t="s">
        <v>52</v>
      </c>
    </row>
    <row r="12" spans="1:16">
      <c r="A12" s="40" t="s">
        <v>25</v>
      </c>
      <c r="B12" s="20" t="str">
        <f>'Company Info'!B22</f>
        <v>3699 South Monaco Parkway, Denver, CO 80237</v>
      </c>
      <c r="C12" s="41">
        <v>5339075</v>
      </c>
      <c r="D12" s="41">
        <v>75000</v>
      </c>
      <c r="E12" s="41">
        <v>1008000</v>
      </c>
      <c r="F12" s="41">
        <f>SUM(C12:E12)</f>
        <v>6422075</v>
      </c>
      <c r="G12" s="20">
        <v>1999</v>
      </c>
      <c r="H12" s="20" t="s">
        <v>11</v>
      </c>
      <c r="I12" s="19">
        <v>30509</v>
      </c>
      <c r="J12" s="41">
        <v>175</v>
      </c>
      <c r="K12" s="19">
        <v>56</v>
      </c>
      <c r="L12" s="19" t="s">
        <v>53</v>
      </c>
      <c r="M12" s="20">
        <v>2025</v>
      </c>
      <c r="N12" s="20">
        <v>2025</v>
      </c>
      <c r="O12" s="20">
        <v>2025</v>
      </c>
      <c r="P12" s="20">
        <v>2025</v>
      </c>
    </row>
    <row r="13" spans="1:16">
      <c r="A13" s="40" t="s">
        <v>25</v>
      </c>
      <c r="B13" s="20" t="str">
        <f>'Company Info'!B23</f>
        <v>3699 South Monaco Parkway, Denver, CO 80237</v>
      </c>
      <c r="C13" s="41">
        <v>5339075</v>
      </c>
      <c r="D13" s="41">
        <v>75000</v>
      </c>
      <c r="E13" s="41">
        <v>1008000</v>
      </c>
      <c r="F13" s="41">
        <f>SUM(C13:E13)</f>
        <v>6422075</v>
      </c>
      <c r="G13" s="20">
        <v>1999</v>
      </c>
      <c r="H13" s="20" t="s">
        <v>11</v>
      </c>
      <c r="I13" s="19">
        <v>30509</v>
      </c>
      <c r="J13" s="45">
        <v>175</v>
      </c>
      <c r="K13" s="20">
        <v>56</v>
      </c>
      <c r="L13" s="20" t="s">
        <v>53</v>
      </c>
      <c r="M13" s="20">
        <v>2025</v>
      </c>
      <c r="N13" s="20">
        <v>2025</v>
      </c>
      <c r="O13" s="20">
        <v>2025</v>
      </c>
      <c r="P13" s="20">
        <v>2025</v>
      </c>
    </row>
    <row r="14" spans="1:16">
      <c r="A14" s="7"/>
      <c r="C14" s="44">
        <f>SUM(C12:C13)</f>
        <v>10678150</v>
      </c>
      <c r="D14" s="44">
        <f t="shared" ref="D14:F14" si="0">SUM(D12:D13)</f>
        <v>150000</v>
      </c>
      <c r="E14" s="44">
        <f t="shared" si="0"/>
        <v>2016000</v>
      </c>
      <c r="F14" s="44">
        <f t="shared" si="0"/>
        <v>12844150</v>
      </c>
      <c r="G14" s="11"/>
    </row>
    <row r="15" spans="1:16">
      <c r="A15" s="7"/>
      <c r="C15" s="10"/>
      <c r="D15" s="10"/>
      <c r="E15" s="10"/>
      <c r="F15" s="10"/>
      <c r="G15" s="11"/>
    </row>
    <row r="16" spans="1:16">
      <c r="A16" s="7"/>
      <c r="C16" s="10"/>
      <c r="D16" s="10"/>
      <c r="E16" s="10"/>
      <c r="F16" s="10"/>
      <c r="G16" s="11"/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D25" sqref="D25"/>
    </sheetView>
  </sheetViews>
  <sheetFormatPr defaultRowHeight="14.45"/>
  <cols>
    <col min="1" max="1" width="9.28515625" customWidth="1"/>
    <col min="2" max="2" width="19" bestFit="1" customWidth="1"/>
    <col min="3" max="3" width="10.42578125" bestFit="1" customWidth="1"/>
    <col min="4" max="4" width="10.85546875" bestFit="1" customWidth="1"/>
    <col min="5" max="5" width="12.28515625" bestFit="1" customWidth="1"/>
  </cols>
  <sheetData>
    <row r="1" spans="1:6">
      <c r="A1" s="3" t="s">
        <v>54</v>
      </c>
    </row>
    <row r="3" spans="1:6">
      <c r="A3" s="13" t="s">
        <v>55</v>
      </c>
      <c r="B3" s="24" t="s">
        <v>56</v>
      </c>
    </row>
    <row r="4" spans="1:6">
      <c r="A4" s="13" t="s">
        <v>57</v>
      </c>
      <c r="B4" s="25">
        <v>100000</v>
      </c>
    </row>
    <row r="5" spans="1:6">
      <c r="A5" s="13" t="s">
        <v>58</v>
      </c>
      <c r="B5" s="24"/>
    </row>
    <row r="6" spans="1:6">
      <c r="A6" s="13" t="s">
        <v>59</v>
      </c>
      <c r="B6" s="25"/>
    </row>
    <row r="8" spans="1:6">
      <c r="A8" s="3" t="s">
        <v>60</v>
      </c>
    </row>
    <row r="9" spans="1:6">
      <c r="A9" s="20" t="s">
        <v>61</v>
      </c>
      <c r="B9" s="13" t="s">
        <v>22</v>
      </c>
      <c r="C9" s="13" t="s">
        <v>62</v>
      </c>
      <c r="D9" s="13" t="s">
        <v>63</v>
      </c>
      <c r="E9" s="21" t="s">
        <v>64</v>
      </c>
      <c r="F9" s="2"/>
    </row>
    <row r="10" spans="1:6">
      <c r="A10" s="20"/>
      <c r="B10" s="13" t="s">
        <v>11</v>
      </c>
      <c r="C10" s="13">
        <v>60010</v>
      </c>
      <c r="D10" s="13">
        <v>112</v>
      </c>
      <c r="E10" s="19" t="s">
        <v>65</v>
      </c>
      <c r="F10" s="2"/>
    </row>
    <row r="11" spans="1:6">
      <c r="A11" s="20"/>
      <c r="B11" s="13" t="s">
        <v>66</v>
      </c>
      <c r="C11" s="13"/>
      <c r="D11" s="43">
        <v>1</v>
      </c>
      <c r="E11" s="20" t="s">
        <v>65</v>
      </c>
      <c r="F11" s="2"/>
    </row>
    <row r="12" spans="1:6">
      <c r="A12" s="20"/>
      <c r="B12" s="13"/>
      <c r="C12" s="13"/>
      <c r="D12" s="13"/>
      <c r="E12" s="22"/>
      <c r="F12" s="2"/>
    </row>
    <row r="13" spans="1:6">
      <c r="A13" s="20"/>
      <c r="B13" s="13"/>
      <c r="C13" s="13"/>
      <c r="D13" s="13"/>
      <c r="E13" s="13"/>
      <c r="F13" s="2"/>
    </row>
    <row r="14" spans="1:6">
      <c r="A14" s="20"/>
      <c r="B14" s="13"/>
      <c r="C14" s="13"/>
      <c r="D14" s="13"/>
      <c r="E14" s="13"/>
      <c r="F14" s="2"/>
    </row>
    <row r="15" spans="1:6">
      <c r="A15" s="20"/>
      <c r="B15" s="13"/>
      <c r="C15" s="13"/>
      <c r="D15" s="13"/>
      <c r="E15" s="22"/>
      <c r="F15" s="2"/>
    </row>
    <row r="16" spans="1:6">
      <c r="A16" s="20"/>
      <c r="B16" s="13"/>
      <c r="C16" s="13"/>
      <c r="D16" s="13"/>
      <c r="E16" s="13"/>
      <c r="F16" s="2"/>
    </row>
    <row r="17" spans="1:6">
      <c r="A17" s="20"/>
      <c r="B17" s="13"/>
      <c r="C17" s="13"/>
      <c r="D17" s="13"/>
      <c r="E17" s="13"/>
      <c r="F17" s="2"/>
    </row>
    <row r="18" spans="1:6">
      <c r="A18" s="20"/>
      <c r="B18" s="13"/>
      <c r="C18" s="13"/>
      <c r="D18" s="13"/>
      <c r="E18" s="13"/>
      <c r="F18" s="2"/>
    </row>
    <row r="19" spans="1:6">
      <c r="A19" s="8"/>
      <c r="D19" s="1"/>
      <c r="F19" s="2"/>
    </row>
    <row r="21" spans="1:6">
      <c r="A21" s="4"/>
    </row>
    <row r="22" spans="1:6">
      <c r="A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B4" sqref="B4"/>
    </sheetView>
  </sheetViews>
  <sheetFormatPr defaultRowHeight="14.45"/>
  <cols>
    <col min="1" max="1" width="10.85546875" bestFit="1" customWidth="1"/>
    <col min="2" max="2" width="12.7109375" bestFit="1" customWidth="1"/>
    <col min="6" max="6" width="11.28515625" customWidth="1"/>
  </cols>
  <sheetData>
    <row r="1" spans="1:2">
      <c r="A1" s="3" t="s">
        <v>67</v>
      </c>
    </row>
    <row r="3" spans="1:2">
      <c r="A3" s="23" t="s">
        <v>68</v>
      </c>
      <c r="B3" s="21">
        <v>5000000</v>
      </c>
    </row>
    <row r="5" spans="1:2">
      <c r="A5" s="12" t="s">
        <v>69</v>
      </c>
      <c r="B5" s="13"/>
    </row>
    <row r="6" spans="1:2">
      <c r="A6" s="13" t="s">
        <v>70</v>
      </c>
      <c r="B6" s="22"/>
    </row>
    <row r="7" spans="1:2">
      <c r="A7" s="13" t="s">
        <v>71</v>
      </c>
      <c r="B7" s="22"/>
    </row>
    <row r="8" spans="1:2">
      <c r="A8" s="13" t="s">
        <v>72</v>
      </c>
      <c r="B8" s="22"/>
    </row>
    <row r="9" spans="1:2">
      <c r="A9" s="13" t="s">
        <v>59</v>
      </c>
      <c r="B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F41A28F10544892E36CB40D286A8" ma:contentTypeVersion="3" ma:contentTypeDescription="Create a new document." ma:contentTypeScope="" ma:versionID="2564e8ec28312b66af2eedbba8a40cfb">
  <xsd:schema xmlns:xsd="http://www.w3.org/2001/XMLSchema" xmlns:xs="http://www.w3.org/2001/XMLSchema" xmlns:p="http://schemas.microsoft.com/office/2006/metadata/properties" xmlns:ns2="2e6f9b1b-1dbe-4f0a-a579-4e76b26dd760" targetNamespace="http://schemas.microsoft.com/office/2006/metadata/properties" ma:root="true" ma:fieldsID="6736811354c069e14646f1ad0110900c" ns2:_="">
    <xsd:import namespace="2e6f9b1b-1dbe-4f0a-a579-4e76b26dd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f9b1b-1dbe-4f0a-a579-4e76b26dd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8951CF-B44E-4F07-B691-372AB41758B3}"/>
</file>

<file path=customXml/itemProps2.xml><?xml version="1.0" encoding="utf-8"?>
<ds:datastoreItem xmlns:ds="http://schemas.openxmlformats.org/officeDocument/2006/customXml" ds:itemID="{5D758A80-0BB6-4AA9-A4F0-81CB4D091FE0}"/>
</file>

<file path=customXml/itemProps3.xml><?xml version="1.0" encoding="utf-8"?>
<ds:datastoreItem xmlns:ds="http://schemas.openxmlformats.org/officeDocument/2006/customXml" ds:itemID="{79A5A2DF-A471-4ECC-8BAF-996DB12AF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TrueNorth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Roth, Will</dc:creator>
  <cp:keywords/>
  <dc:description/>
  <cp:lastModifiedBy>James Kennedy</cp:lastModifiedBy>
  <cp:revision/>
  <dcterms:created xsi:type="dcterms:W3CDTF">2018-01-04T14:37:20Z</dcterms:created>
  <dcterms:modified xsi:type="dcterms:W3CDTF">2025-08-27T02:38:18Z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0x0101006867F41A28F10544892E36CB40D286A8</vt:lpwstr>
  </property>
</Properties>
</file>