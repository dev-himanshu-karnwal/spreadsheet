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pgrp.sharepoint.com/sites/CondoRoom/CommunityAssociationClientFiles/Kingston Bay View Estates/"/>
    </mc:Choice>
  </mc:AlternateContent>
  <xr:revisionPtr revIDLastSave="185" documentId="8_{43D11D26-948C-491E-A57E-F6788E92B01B}" xr6:coauthVersionLast="47" xr6:coauthVersionMax="47" xr10:uidLastSave="{DD137083-D7BD-41F2-99C4-5DA948CD36DE}"/>
  <bookViews>
    <workbookView xWindow="29580" yWindow="-1785" windowWidth="25140" windowHeight="15360" xr2:uid="{00000000-000D-0000-FFFF-FFFF00000000}"/>
  </bookViews>
  <sheets>
    <sheet name="2024 EQ" sheetId="14" r:id="rId1"/>
    <sheet name="2024" sheetId="13" r:id="rId2"/>
    <sheet name="2023 Pkg" sheetId="10" r:id="rId3"/>
    <sheet name="2022 EARTHQUAKE" sheetId="9" r:id="rId4"/>
    <sheet name="2022 PACKAGE" sheetId="8" r:id="rId5"/>
    <sheet name="2021 EARTHQUAKE" sheetId="7" r:id="rId6"/>
    <sheet name="2021 PACKAGE" sheetId="6" r:id="rId7"/>
  </sheets>
  <definedNames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38976.5293402778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Z_SCORE" hidden="1">"c1339"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4" l="1"/>
  <c r="G10" i="14"/>
  <c r="G10" i="13"/>
  <c r="F46" i="14"/>
  <c r="E46" i="14"/>
  <c r="D46" i="14"/>
  <c r="F38" i="14"/>
  <c r="E38" i="14"/>
  <c r="D38" i="14"/>
  <c r="F30" i="14"/>
  <c r="E30" i="14"/>
  <c r="D30" i="14"/>
  <c r="F21" i="14"/>
  <c r="H21" i="14" s="1"/>
  <c r="E21" i="14"/>
  <c r="D21" i="14"/>
  <c r="O8" i="14"/>
  <c r="M8" i="14"/>
  <c r="I8" i="14"/>
  <c r="G8" i="14"/>
  <c r="I6" i="14"/>
  <c r="J6" i="14" s="1"/>
  <c r="L6" i="14" s="1"/>
  <c r="N5" i="14"/>
  <c r="N4" i="14"/>
  <c r="N3" i="14"/>
  <c r="N8" i="14" s="1"/>
  <c r="N2" i="14"/>
  <c r="F46" i="13"/>
  <c r="E46" i="13"/>
  <c r="H46" i="13" s="1"/>
  <c r="F48" i="13" s="1"/>
  <c r="D46" i="13"/>
  <c r="F38" i="13"/>
  <c r="E38" i="13"/>
  <c r="D38" i="13"/>
  <c r="F30" i="13"/>
  <c r="E30" i="13"/>
  <c r="D30" i="13"/>
  <c r="F21" i="13"/>
  <c r="E21" i="13"/>
  <c r="D21" i="13"/>
  <c r="H21" i="13" s="1"/>
  <c r="H2" i="13" s="1"/>
  <c r="O8" i="13"/>
  <c r="G8" i="13"/>
  <c r="I6" i="13"/>
  <c r="J6" i="13" s="1"/>
  <c r="N5" i="13"/>
  <c r="N4" i="13"/>
  <c r="N3" i="13"/>
  <c r="N2" i="13"/>
  <c r="N8" i="13" s="1"/>
  <c r="F46" i="10"/>
  <c r="E46" i="10"/>
  <c r="D46" i="10"/>
  <c r="F38" i="10"/>
  <c r="E38" i="10"/>
  <c r="D38" i="10"/>
  <c r="F30" i="10"/>
  <c r="E30" i="10"/>
  <c r="D30" i="10"/>
  <c r="F21" i="10"/>
  <c r="E21" i="10"/>
  <c r="D21" i="10"/>
  <c r="O8" i="10"/>
  <c r="G8" i="10"/>
  <c r="I6" i="10"/>
  <c r="J6" i="10" s="1"/>
  <c r="N5" i="10"/>
  <c r="N4" i="10"/>
  <c r="N3" i="10"/>
  <c r="N2" i="10"/>
  <c r="G10" i="8"/>
  <c r="H10" i="9"/>
  <c r="F45" i="9"/>
  <c r="E45" i="9"/>
  <c r="D45" i="9"/>
  <c r="F37" i="9"/>
  <c r="H37" i="9"/>
  <c r="E37" i="9"/>
  <c r="D37" i="9"/>
  <c r="D39" i="9"/>
  <c r="F29" i="9"/>
  <c r="E29" i="9"/>
  <c r="H29" i="9"/>
  <c r="D29" i="9"/>
  <c r="F20" i="9"/>
  <c r="E20" i="9"/>
  <c r="D20" i="9"/>
  <c r="H20" i="9"/>
  <c r="O8" i="9"/>
  <c r="M8" i="9"/>
  <c r="I8" i="9"/>
  <c r="G8" i="9"/>
  <c r="J6" i="9"/>
  <c r="I6" i="9"/>
  <c r="N5" i="9"/>
  <c r="N4" i="9"/>
  <c r="N3" i="9"/>
  <c r="N2" i="9"/>
  <c r="N8" i="9"/>
  <c r="M4" i="8"/>
  <c r="E46" i="8"/>
  <c r="D46" i="8"/>
  <c r="C46" i="8"/>
  <c r="E38" i="8"/>
  <c r="G38" i="8"/>
  <c r="D38" i="8"/>
  <c r="C38" i="8"/>
  <c r="E30" i="8"/>
  <c r="G30" i="8"/>
  <c r="D30" i="8"/>
  <c r="C30" i="8"/>
  <c r="E21" i="8"/>
  <c r="D21" i="8"/>
  <c r="C21" i="8"/>
  <c r="G21" i="8"/>
  <c r="N8" i="8"/>
  <c r="H8" i="8"/>
  <c r="F8" i="8"/>
  <c r="I14" i="8"/>
  <c r="H6" i="8"/>
  <c r="I6" i="8"/>
  <c r="M5" i="8"/>
  <c r="M3" i="8"/>
  <c r="M2" i="8"/>
  <c r="M8" i="8"/>
  <c r="L3" i="7"/>
  <c r="L4" i="7"/>
  <c r="L5" i="7"/>
  <c r="L2" i="7"/>
  <c r="M8" i="7"/>
  <c r="F45" i="7"/>
  <c r="E45" i="7"/>
  <c r="D45" i="7"/>
  <c r="H45" i="7"/>
  <c r="H5" i="7"/>
  <c r="J5" i="7"/>
  <c r="F37" i="7"/>
  <c r="E37" i="7"/>
  <c r="D37" i="7"/>
  <c r="F29" i="7"/>
  <c r="E29" i="7"/>
  <c r="D29" i="7"/>
  <c r="H29" i="7"/>
  <c r="F20" i="7"/>
  <c r="H20" i="7"/>
  <c r="E20" i="7"/>
  <c r="D20" i="7"/>
  <c r="O8" i="7"/>
  <c r="G8" i="7"/>
  <c r="I6" i="7"/>
  <c r="I8" i="7"/>
  <c r="J6" i="7"/>
  <c r="N5" i="7"/>
  <c r="N4" i="7"/>
  <c r="N3" i="7"/>
  <c r="N2" i="7"/>
  <c r="N8" i="7"/>
  <c r="M3" i="6"/>
  <c r="M4" i="6"/>
  <c r="M5" i="6"/>
  <c r="M2" i="6"/>
  <c r="H6" i="6"/>
  <c r="H8" i="6"/>
  <c r="E45" i="6"/>
  <c r="D45" i="6"/>
  <c r="C45" i="6"/>
  <c r="E20" i="6"/>
  <c r="D20" i="6"/>
  <c r="C20" i="6"/>
  <c r="G20" i="6"/>
  <c r="N8" i="6"/>
  <c r="D29" i="6"/>
  <c r="E29" i="6"/>
  <c r="C29" i="6"/>
  <c r="C37" i="6"/>
  <c r="D37" i="6"/>
  <c r="E37" i="6"/>
  <c r="F8" i="6"/>
  <c r="E47" i="7"/>
  <c r="F47" i="7"/>
  <c r="D47" i="7"/>
  <c r="G29" i="6"/>
  <c r="M8" i="6"/>
  <c r="G45" i="6"/>
  <c r="D22" i="6"/>
  <c r="G2" i="6"/>
  <c r="E31" i="6"/>
  <c r="G3" i="6"/>
  <c r="I3" i="6"/>
  <c r="K3" i="6"/>
  <c r="C31" i="6"/>
  <c r="D31" i="6"/>
  <c r="E22" i="6"/>
  <c r="G5" i="6"/>
  <c r="I5" i="6"/>
  <c r="K5" i="6"/>
  <c r="E47" i="6"/>
  <c r="C47" i="6"/>
  <c r="D47" i="6"/>
  <c r="I6" i="6"/>
  <c r="L6" i="6"/>
  <c r="L8" i="6"/>
  <c r="G37" i="6"/>
  <c r="G4" i="6"/>
  <c r="I4" i="6"/>
  <c r="K4" i="6"/>
  <c r="C22" i="6"/>
  <c r="E39" i="6"/>
  <c r="C39" i="6"/>
  <c r="G8" i="6"/>
  <c r="I2" i="6"/>
  <c r="D39" i="6"/>
  <c r="K2" i="6"/>
  <c r="I8" i="6"/>
  <c r="E22" i="7"/>
  <c r="H2" i="7"/>
  <c r="D22" i="7"/>
  <c r="H3" i="7"/>
  <c r="J3" i="7"/>
  <c r="E31" i="7"/>
  <c r="F31" i="7"/>
  <c r="D31" i="7"/>
  <c r="H37" i="7"/>
  <c r="F22" i="7"/>
  <c r="J2" i="7"/>
  <c r="H8" i="7"/>
  <c r="E39" i="7"/>
  <c r="D39" i="7"/>
  <c r="H4" i="7"/>
  <c r="J4" i="7"/>
  <c r="F39" i="7"/>
  <c r="J8" i="7"/>
  <c r="L8" i="8"/>
  <c r="C40" i="8"/>
  <c r="D40" i="8"/>
  <c r="G4" i="8"/>
  <c r="I4" i="8"/>
  <c r="K4" i="8"/>
  <c r="E40" i="8"/>
  <c r="G46" i="8"/>
  <c r="E48" i="8"/>
  <c r="G5" i="8"/>
  <c r="I5" i="8"/>
  <c r="K5" i="8"/>
  <c r="D48" i="8"/>
  <c r="C48" i="8"/>
  <c r="E23" i="8"/>
  <c r="D23" i="8"/>
  <c r="C23" i="8"/>
  <c r="G2" i="8"/>
  <c r="G3" i="8"/>
  <c r="I3" i="8"/>
  <c r="K3" i="8"/>
  <c r="E32" i="8"/>
  <c r="C32" i="8"/>
  <c r="D32" i="8"/>
  <c r="G8" i="8"/>
  <c r="I2" i="8"/>
  <c r="K2" i="8"/>
  <c r="I8" i="8"/>
  <c r="H3" i="9"/>
  <c r="J3" i="9"/>
  <c r="L3" i="9"/>
  <c r="F31" i="9"/>
  <c r="E31" i="9"/>
  <c r="E39" i="9"/>
  <c r="H4" i="9"/>
  <c r="J4" i="9"/>
  <c r="L4" i="9"/>
  <c r="F39" i="9"/>
  <c r="F22" i="9"/>
  <c r="D22" i="9"/>
  <c r="H2" i="9"/>
  <c r="E22" i="9"/>
  <c r="D31" i="9"/>
  <c r="H45" i="9"/>
  <c r="H5" i="9"/>
  <c r="J5" i="9"/>
  <c r="L5" i="9"/>
  <c r="D47" i="9"/>
  <c r="H8" i="9"/>
  <c r="J2" i="9"/>
  <c r="F47" i="9"/>
  <c r="E47" i="9"/>
  <c r="J8" i="9"/>
  <c r="L2" i="9"/>
  <c r="M8" i="13" l="1"/>
  <c r="L6" i="13"/>
  <c r="F32" i="14"/>
  <c r="F23" i="14"/>
  <c r="D23" i="14"/>
  <c r="H2" i="14"/>
  <c r="E23" i="14"/>
  <c r="H30" i="14"/>
  <c r="H3" i="14" s="1"/>
  <c r="J3" i="14" s="1"/>
  <c r="L3" i="14" s="1"/>
  <c r="H38" i="14"/>
  <c r="H46" i="14"/>
  <c r="E23" i="13"/>
  <c r="F23" i="13"/>
  <c r="J2" i="13"/>
  <c r="D23" i="13"/>
  <c r="H38" i="13"/>
  <c r="I8" i="13"/>
  <c r="H5" i="13"/>
  <c r="J5" i="13" s="1"/>
  <c r="L5" i="13" s="1"/>
  <c r="H30" i="13"/>
  <c r="D48" i="13"/>
  <c r="E48" i="13"/>
  <c r="H30" i="10"/>
  <c r="E32" i="10" s="1"/>
  <c r="H46" i="10"/>
  <c r="F48" i="10" s="1"/>
  <c r="I8" i="10"/>
  <c r="N8" i="10"/>
  <c r="H21" i="10"/>
  <c r="H2" i="10" s="1"/>
  <c r="J2" i="10" s="1"/>
  <c r="D32" i="10"/>
  <c r="H3" i="10"/>
  <c r="J3" i="10" s="1"/>
  <c r="F32" i="10"/>
  <c r="H38" i="10"/>
  <c r="F40" i="10" s="1"/>
  <c r="H4" i="14" l="1"/>
  <c r="J4" i="14" s="1"/>
  <c r="L4" i="14" s="1"/>
  <c r="E40" i="14"/>
  <c r="D40" i="14"/>
  <c r="F48" i="14"/>
  <c r="E48" i="14"/>
  <c r="H5" i="14"/>
  <c r="J5" i="14" s="1"/>
  <c r="L5" i="14" s="1"/>
  <c r="D48" i="14"/>
  <c r="F40" i="14"/>
  <c r="E32" i="14"/>
  <c r="D32" i="14"/>
  <c r="J2" i="14"/>
  <c r="H8" i="14"/>
  <c r="E32" i="13"/>
  <c r="H3" i="13"/>
  <c r="F32" i="13"/>
  <c r="E40" i="13"/>
  <c r="H4" i="13"/>
  <c r="J4" i="13" s="1"/>
  <c r="L4" i="13" s="1"/>
  <c r="F40" i="13"/>
  <c r="D32" i="13"/>
  <c r="L2" i="13"/>
  <c r="D40" i="13"/>
  <c r="D23" i="10"/>
  <c r="E48" i="10"/>
  <c r="H5" i="10"/>
  <c r="J5" i="10" s="1"/>
  <c r="D48" i="10"/>
  <c r="F23" i="10"/>
  <c r="E23" i="10"/>
  <c r="E40" i="10"/>
  <c r="H4" i="10"/>
  <c r="D40" i="10"/>
  <c r="L2" i="14" l="1"/>
  <c r="J8" i="14"/>
  <c r="J3" i="13"/>
  <c r="H8" i="13"/>
  <c r="J4" i="10"/>
  <c r="H8" i="10"/>
  <c r="L3" i="13" l="1"/>
  <c r="J8" i="13"/>
  <c r="J8" i="10"/>
  <c r="L6" i="10"/>
  <c r="L3" i="10"/>
  <c r="M8" i="10"/>
  <c r="L2" i="10"/>
  <c r="L4" i="10"/>
  <c r="L5" i="10"/>
</calcChain>
</file>

<file path=xl/sharedStrings.xml><?xml version="1.0" encoding="utf-8"?>
<sst xmlns="http://schemas.openxmlformats.org/spreadsheetml/2006/main" count="629" uniqueCount="60">
  <si>
    <t>Building</t>
  </si>
  <si>
    <t>Signature:</t>
  </si>
  <si>
    <t>Date:</t>
  </si>
  <si>
    <t>Property Manager</t>
  </si>
  <si>
    <t>Address</t>
  </si>
  <si>
    <t>Stories</t>
  </si>
  <si>
    <t>Units</t>
  </si>
  <si>
    <t>MSB $ Per Sq Ft</t>
  </si>
  <si>
    <t>Annual Dues</t>
  </si>
  <si>
    <t>Sprink?</t>
  </si>
  <si>
    <t>Garage Type</t>
  </si>
  <si>
    <t xml:space="preserve">Building Value </t>
  </si>
  <si>
    <t>Year Built</t>
  </si>
  <si>
    <t>Construction</t>
  </si>
  <si>
    <t>Property Breakdown</t>
  </si>
  <si>
    <t>Description</t>
  </si>
  <si>
    <t>Parking</t>
  </si>
  <si>
    <t>Commercial</t>
  </si>
  <si>
    <t>Residential</t>
  </si>
  <si>
    <t>First Floor</t>
  </si>
  <si>
    <t>Second Floor</t>
  </si>
  <si>
    <t xml:space="preserve">Percentage </t>
  </si>
  <si>
    <t>Total</t>
  </si>
  <si>
    <t>Third Floor</t>
  </si>
  <si>
    <t>BPP</t>
  </si>
  <si>
    <t>Date</t>
  </si>
  <si>
    <t>Residential Sq Ft</t>
  </si>
  <si>
    <t>Garage Sq Ft</t>
  </si>
  <si>
    <t>Total Sq Ft</t>
  </si>
  <si>
    <t>26425 Pennsylvania Ave NE</t>
  </si>
  <si>
    <t>Kingston WA 98346</t>
  </si>
  <si>
    <t>Wood Frame</t>
  </si>
  <si>
    <t>N/A</t>
  </si>
  <si>
    <t>No</t>
  </si>
  <si>
    <t>Bldg 1</t>
  </si>
  <si>
    <t>Bldg 2</t>
  </si>
  <si>
    <t>Bldg 3</t>
  </si>
  <si>
    <t>Bldg 4</t>
  </si>
  <si>
    <t>Carports (10)</t>
  </si>
  <si>
    <t>units 37-54</t>
  </si>
  <si>
    <t>26435 Pennsylvania Ave NE</t>
  </si>
  <si>
    <t>26430 Pennsylvania Ave NE</t>
  </si>
  <si>
    <t>26420 Pennsylvania Ave NE</t>
  </si>
  <si>
    <t>units 55-63</t>
  </si>
  <si>
    <t>units 64-74</t>
  </si>
  <si>
    <t>Units 1 - 36</t>
  </si>
  <si>
    <t>Building Value</t>
  </si>
  <si>
    <t xml:space="preserve">Percentage Rented: </t>
  </si>
  <si>
    <t>(30 of 74)</t>
  </si>
  <si>
    <t>Percentage Rented:</t>
  </si>
  <si>
    <t>(29 of 74)</t>
  </si>
  <si>
    <t>A</t>
  </si>
  <si>
    <t>B</t>
  </si>
  <si>
    <t>C</t>
  </si>
  <si>
    <t>D</t>
  </si>
  <si>
    <t>-</t>
  </si>
  <si>
    <t>Frame</t>
  </si>
  <si>
    <t>Units Rented:</t>
  </si>
  <si>
    <t>Paved Surfaces &amp; Underground Utilites</t>
  </si>
  <si>
    <t xml:space="preserve">TIV: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</si>
</sst>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#,##0.000"/>
  </numFmts>
  <fonts count="10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6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1" xfId="0" applyFont="1" applyBorder="1" applyAlignment="1">
      <alignment horizontal="center"/>
    </xf>
    <xf numFmtId="3" fontId="8" fillId="0" borderId="1" xfId="0" applyNumberFormat="1" applyFont="1" applyBorder="1" applyAlignment="1">
      <alignment horizontal="center" vertical="center"/>
    </xf>
    <xf numFmtId="5" fontId="8" fillId="0" borderId="1" xfId="1" applyNumberFormat="1" applyFont="1" applyBorder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5" fontId="8" fillId="0" borderId="0" xfId="1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3" fontId="7" fillId="0" borderId="0" xfId="3" applyNumberFormat="1" applyFont="1" applyAlignment="1">
      <alignment horizontal="center"/>
    </xf>
    <xf numFmtId="164" fontId="7" fillId="0" borderId="0" xfId="3" applyNumberFormat="1" applyFont="1" applyAlignment="1">
      <alignment horizontal="center"/>
    </xf>
    <xf numFmtId="5" fontId="7" fillId="0" borderId="0" xfId="0" applyNumberFormat="1" applyFont="1" applyAlignment="1">
      <alignment horizontal="center" vertical="center"/>
    </xf>
    <xf numFmtId="164" fontId="8" fillId="0" borderId="0" xfId="0" applyNumberFormat="1" applyFont="1"/>
    <xf numFmtId="3" fontId="8" fillId="0" borderId="0" xfId="0" applyNumberFormat="1" applyFont="1"/>
    <xf numFmtId="42" fontId="8" fillId="0" borderId="0" xfId="1" applyNumberFormat="1" applyFont="1"/>
    <xf numFmtId="0" fontId="9" fillId="0" borderId="0" xfId="0" applyFont="1" applyAlignment="1">
      <alignment horizontal="center"/>
    </xf>
    <xf numFmtId="5" fontId="8" fillId="0" borderId="1" xfId="1" applyNumberFormat="1" applyFont="1" applyFill="1" applyBorder="1" applyAlignment="1">
      <alignment horizontal="center" vertical="center"/>
    </xf>
    <xf numFmtId="166" fontId="0" fillId="0" borderId="0" xfId="0" applyNumberFormat="1" applyProtection="1">
      <protection locked="0"/>
    </xf>
    <xf numFmtId="165" fontId="8" fillId="0" borderId="1" xfId="0" applyNumberFormat="1" applyFont="1" applyBorder="1" applyAlignment="1">
      <alignment horizontal="center" vertical="center"/>
    </xf>
    <xf numFmtId="6" fontId="8" fillId="0" borderId="0" xfId="0" applyNumberFormat="1" applyFont="1" applyAlignment="1">
      <alignment horizontal="left"/>
    </xf>
    <xf numFmtId="164" fontId="8" fillId="0" borderId="1" xfId="0" applyNumberFormat="1" applyFont="1" applyBorder="1" applyAlignment="1">
      <alignment horizontal="center" vertical="center"/>
    </xf>
    <xf numFmtId="0" fontId="2" fillId="0" borderId="1" xfId="3" applyBorder="1"/>
    <xf numFmtId="3" fontId="2" fillId="0" borderId="1" xfId="3" applyNumberFormat="1" applyBorder="1"/>
    <xf numFmtId="0" fontId="8" fillId="0" borderId="0" xfId="0" applyFont="1" applyAlignment="1">
      <alignment horizontal="right"/>
    </xf>
    <xf numFmtId="0" fontId="4" fillId="4" borderId="1" xfId="3" applyFont="1" applyFill="1" applyBorder="1"/>
    <xf numFmtId="0" fontId="2" fillId="5" borderId="2" xfId="3" applyFill="1" applyBorder="1"/>
    <xf numFmtId="0" fontId="2" fillId="5" borderId="0" xfId="3" applyFill="1"/>
    <xf numFmtId="3" fontId="2" fillId="5" borderId="0" xfId="3" applyNumberFormat="1" applyFill="1"/>
    <xf numFmtId="3" fontId="2" fillId="5" borderId="3" xfId="3" applyNumberFormat="1" applyFill="1" applyBorder="1"/>
    <xf numFmtId="0" fontId="0" fillId="5" borderId="2" xfId="0" applyFill="1" applyBorder="1"/>
    <xf numFmtId="0" fontId="0" fillId="5" borderId="0" xfId="0" applyFill="1"/>
    <xf numFmtId="0" fontId="0" fillId="5" borderId="3" xfId="0" applyFill="1" applyBorder="1"/>
    <xf numFmtId="0" fontId="2" fillId="5" borderId="4" xfId="3" applyFill="1" applyBorder="1"/>
    <xf numFmtId="0" fontId="4" fillId="5" borderId="5" xfId="3" applyFont="1" applyFill="1" applyBorder="1"/>
    <xf numFmtId="9" fontId="2" fillId="5" borderId="5" xfId="3" applyNumberFormat="1" applyFill="1" applyBorder="1"/>
    <xf numFmtId="0" fontId="2" fillId="5" borderId="5" xfId="3" applyFill="1" applyBorder="1"/>
    <xf numFmtId="0" fontId="2" fillId="5" borderId="6" xfId="3" applyFill="1" applyBorder="1"/>
    <xf numFmtId="3" fontId="4" fillId="5" borderId="3" xfId="3" applyNumberFormat="1" applyFont="1" applyFill="1" applyBorder="1"/>
    <xf numFmtId="0" fontId="2" fillId="5" borderId="3" xfId="3" applyFill="1" applyBorder="1"/>
    <xf numFmtId="0" fontId="3" fillId="5" borderId="7" xfId="3" applyFont="1" applyFill="1" applyBorder="1"/>
    <xf numFmtId="0" fontId="2" fillId="5" borderId="8" xfId="3" applyFill="1" applyBorder="1"/>
    <xf numFmtId="0" fontId="2" fillId="5" borderId="9" xfId="3" applyFill="1" applyBorder="1"/>
    <xf numFmtId="0" fontId="8" fillId="5" borderId="4" xfId="0" applyFont="1" applyFill="1" applyBorder="1"/>
    <xf numFmtId="0" fontId="7" fillId="0" borderId="0" xfId="0" applyFont="1" applyAlignment="1">
      <alignment horizontal="center" vertical="center"/>
    </xf>
    <xf numFmtId="165" fontId="8" fillId="0" borderId="0" xfId="0" applyNumberFormat="1" applyFont="1"/>
    <xf numFmtId="0" fontId="7" fillId="0" borderId="0" xfId="0" applyFont="1"/>
    <xf numFmtId="165" fontId="0" fillId="0" borderId="0" xfId="0" applyNumberFormat="1"/>
    <xf numFmtId="0" fontId="7" fillId="6" borderId="1" xfId="0" applyFont="1" applyFill="1" applyBorder="1" applyAlignment="1">
      <alignment horizontal="center" vertical="center" wrapText="1"/>
    </xf>
    <xf numFmtId="164" fontId="0" fillId="0" borderId="0" xfId="0" applyNumberFormat="1"/>
    <xf numFmtId="9" fontId="0" fillId="0" borderId="10" xfId="5" applyFont="1" applyBorder="1" applyAlignment="1">
      <alignment horizontal="center"/>
    </xf>
    <xf numFmtId="0" fontId="2" fillId="0" borderId="0" xfId="0" applyFont="1" applyAlignment="1">
      <alignment horizontal="center"/>
    </xf>
    <xf numFmtId="9" fontId="8" fillId="0" borderId="10" xfId="5" applyFont="1" applyBorder="1" applyAlignment="1">
      <alignment horizontal="center"/>
    </xf>
    <xf numFmtId="0" fontId="1" fillId="0" borderId="0" xfId="0" applyFont="1"/>
    <xf numFmtId="165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6" fontId="7" fillId="0" borderId="0" xfId="0" applyNumberFormat="1" applyFont="1" applyAlignment="1">
      <alignment horizontal="center"/>
    </xf>
    <xf numFmtId="9" fontId="7" fillId="0" borderId="0" xfId="5" applyFont="1" applyBorder="1" applyAlignment="1">
      <alignment horizontal="center"/>
    </xf>
    <xf numFmtId="8" fontId="7" fillId="0" borderId="0" xfId="0" applyNumberFormat="1" applyFont="1" applyAlignment="1">
      <alignment horizontal="left"/>
    </xf>
    <xf numFmtId="0" fontId="4" fillId="5" borderId="12" xfId="3" applyFont="1" applyFill="1" applyBorder="1" applyAlignment="1">
      <alignment horizontal="center" wrapText="1"/>
    </xf>
    <xf numFmtId="0" fontId="8" fillId="0" borderId="5" xfId="0" applyFont="1" applyBorder="1" applyAlignment="1">
      <alignment horizontal="left"/>
    </xf>
    <xf numFmtId="0" fontId="9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11" xfId="0" applyFont="1" applyBorder="1" applyAlignment="1">
      <alignment horizontal="right"/>
    </xf>
    <xf numFmtId="165" fontId="7" fillId="0" borderId="0" xfId="0" applyNumberFormat="1" applyFont="1" applyAlignment="1">
      <alignment horizontal="right"/>
    </xf>
  </cellXfs>
  <cellStyles count="6">
    <cellStyle name="Currency" xfId="1" builtinId="4"/>
    <cellStyle name="Currency 2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Percent" xfId="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CD44-5BAB-4EAF-A1A6-73B65D69BA4F}">
  <sheetPr>
    <tabColor rgb="FF0070C0"/>
    <pageSetUpPr fitToPage="1"/>
  </sheetPr>
  <dimension ref="A1:R48"/>
  <sheetViews>
    <sheetView tabSelected="1" view="pageLayout" zoomScale="85" zoomScaleNormal="160" zoomScalePageLayoutView="85" workbookViewId="0">
      <selection activeCell="M2" sqref="M2:M6"/>
    </sheetView>
  </sheetViews>
  <sheetFormatPr defaultRowHeight="15" x14ac:dyDescent="0.25"/>
  <cols>
    <col min="1" max="1" width="11.7109375" style="3" customWidth="1"/>
    <col min="2" max="2" width="13.5703125" style="3" customWidth="1"/>
    <col min="3" max="3" width="25.28515625" style="3" customWidth="1"/>
    <col min="4" max="4" width="12.5703125" style="3" customWidth="1"/>
    <col min="5" max="5" width="12.28515625" style="3" customWidth="1"/>
    <col min="6" max="6" width="11.5703125" style="3" customWidth="1"/>
    <col min="7" max="7" width="9.5703125" style="3" customWidth="1"/>
    <col min="8" max="10" width="11.7109375" style="3" customWidth="1"/>
    <col min="11" max="11" width="12.28515625" style="3" customWidth="1"/>
    <col min="12" max="12" width="11.28515625" style="17" customWidth="1"/>
    <col min="13" max="13" width="14.5703125" style="3" customWidth="1"/>
    <col min="14" max="14" width="16.140625" style="3" customWidth="1"/>
    <col min="15" max="16" width="10.140625" style="3" customWidth="1"/>
    <col min="17" max="17" width="19" style="3" customWidth="1"/>
    <col min="18" max="18" width="10.28515625" style="3" customWidth="1"/>
    <col min="19" max="19" width="13" style="3" bestFit="1" customWidth="1"/>
    <col min="20" max="16384" width="9.140625" style="3"/>
  </cols>
  <sheetData>
    <row r="1" spans="1:18" ht="45" x14ac:dyDescent="0.25">
      <c r="A1" s="1" t="s">
        <v>0</v>
      </c>
      <c r="B1" s="1" t="s">
        <v>0</v>
      </c>
      <c r="C1" s="1" t="s">
        <v>4</v>
      </c>
      <c r="D1" s="1" t="s">
        <v>13</v>
      </c>
      <c r="E1" s="1" t="s">
        <v>12</v>
      </c>
      <c r="F1" s="1" t="s">
        <v>5</v>
      </c>
      <c r="G1" s="1" t="s">
        <v>6</v>
      </c>
      <c r="H1" s="1" t="s">
        <v>26</v>
      </c>
      <c r="I1" s="1" t="s">
        <v>27</v>
      </c>
      <c r="J1" s="1" t="s">
        <v>28</v>
      </c>
      <c r="K1" s="1" t="s">
        <v>10</v>
      </c>
      <c r="L1" s="1" t="s">
        <v>7</v>
      </c>
      <c r="M1" s="1" t="s">
        <v>11</v>
      </c>
      <c r="N1" s="2" t="s">
        <v>8</v>
      </c>
      <c r="O1" s="2" t="s">
        <v>24</v>
      </c>
      <c r="P1" s="2" t="s">
        <v>9</v>
      </c>
      <c r="Q1" s="2" t="s">
        <v>58</v>
      </c>
    </row>
    <row r="2" spans="1:18" ht="12.75" customHeight="1" x14ac:dyDescent="0.25">
      <c r="A2" s="4">
        <v>1</v>
      </c>
      <c r="B2" s="4" t="s">
        <v>51</v>
      </c>
      <c r="C2" s="4" t="s">
        <v>29</v>
      </c>
      <c r="D2" s="4" t="s">
        <v>56</v>
      </c>
      <c r="E2" s="4">
        <v>1980</v>
      </c>
      <c r="F2" s="4">
        <v>3</v>
      </c>
      <c r="G2" s="4">
        <v>36</v>
      </c>
      <c r="H2" s="5">
        <f>H21</f>
        <v>32778</v>
      </c>
      <c r="I2" s="5">
        <v>0</v>
      </c>
      <c r="J2" s="5">
        <f>SUM(H2:I2)</f>
        <v>32778</v>
      </c>
      <c r="K2" s="5" t="s">
        <v>32</v>
      </c>
      <c r="L2" s="25">
        <f t="shared" ref="L2:L5" si="0">M2/J2</f>
        <v>244.37975326581534</v>
      </c>
      <c r="M2" s="25">
        <v>8010279.5525468951</v>
      </c>
      <c r="N2" s="6">
        <f>256.756756756757*G2*12</f>
        <v>110918.91891891902</v>
      </c>
      <c r="O2" s="6">
        <v>0</v>
      </c>
      <c r="P2" s="6" t="s">
        <v>33</v>
      </c>
      <c r="Q2" s="21"/>
    </row>
    <row r="3" spans="1:18" ht="12.75" customHeight="1" x14ac:dyDescent="0.25">
      <c r="A3" s="4">
        <v>2</v>
      </c>
      <c r="B3" s="4" t="s">
        <v>52</v>
      </c>
      <c r="C3" s="4" t="s">
        <v>40</v>
      </c>
      <c r="D3" s="4" t="s">
        <v>56</v>
      </c>
      <c r="E3" s="4">
        <v>1980</v>
      </c>
      <c r="F3" s="4">
        <v>3</v>
      </c>
      <c r="G3" s="4">
        <v>18</v>
      </c>
      <c r="H3" s="5">
        <f>H30</f>
        <v>16362</v>
      </c>
      <c r="I3" s="5">
        <v>0</v>
      </c>
      <c r="J3" s="5">
        <f>SUM(H3:I3)</f>
        <v>16362</v>
      </c>
      <c r="K3" s="5" t="s">
        <v>32</v>
      </c>
      <c r="L3" s="25">
        <f t="shared" si="0"/>
        <v>244.37975326581537</v>
      </c>
      <c r="M3" s="25">
        <v>3998541.5229352713</v>
      </c>
      <c r="N3" s="6">
        <f>256.756756756757*G3*12</f>
        <v>55459.459459459511</v>
      </c>
      <c r="O3" s="6">
        <v>0</v>
      </c>
      <c r="P3" s="6" t="s">
        <v>33</v>
      </c>
      <c r="Q3" s="21"/>
      <c r="R3" s="49"/>
    </row>
    <row r="4" spans="1:18" ht="12.75" customHeight="1" x14ac:dyDescent="0.25">
      <c r="A4" s="4">
        <v>3</v>
      </c>
      <c r="B4" s="4" t="s">
        <v>53</v>
      </c>
      <c r="C4" s="4" t="s">
        <v>41</v>
      </c>
      <c r="D4" s="4" t="s">
        <v>56</v>
      </c>
      <c r="E4" s="4">
        <v>1980</v>
      </c>
      <c r="F4" s="4">
        <v>2</v>
      </c>
      <c r="G4" s="4">
        <v>8</v>
      </c>
      <c r="H4" s="5">
        <f>H38</f>
        <v>8082</v>
      </c>
      <c r="I4" s="5">
        <v>0</v>
      </c>
      <c r="J4" s="5">
        <f>SUM(H4:I4)</f>
        <v>8082</v>
      </c>
      <c r="K4" s="5" t="s">
        <v>32</v>
      </c>
      <c r="L4" s="25">
        <f t="shared" si="0"/>
        <v>244.37975326581537</v>
      </c>
      <c r="M4" s="25">
        <v>1975077.1658943198</v>
      </c>
      <c r="N4" s="6">
        <f>256.756756756757*G4*12</f>
        <v>24648.648648648672</v>
      </c>
      <c r="O4" s="6">
        <v>0</v>
      </c>
      <c r="P4" s="6" t="s">
        <v>33</v>
      </c>
      <c r="Q4" s="21"/>
      <c r="R4" s="49"/>
    </row>
    <row r="5" spans="1:18" ht="12.75" customHeight="1" x14ac:dyDescent="0.25">
      <c r="A5" s="4">
        <v>4</v>
      </c>
      <c r="B5" s="4" t="s">
        <v>54</v>
      </c>
      <c r="C5" s="4" t="s">
        <v>42</v>
      </c>
      <c r="D5" s="4" t="s">
        <v>56</v>
      </c>
      <c r="E5" s="4">
        <v>1980</v>
      </c>
      <c r="F5" s="4">
        <v>2</v>
      </c>
      <c r="G5" s="4">
        <v>12</v>
      </c>
      <c r="H5" s="5">
        <f>H46</f>
        <v>10908</v>
      </c>
      <c r="I5" s="5">
        <v>0</v>
      </c>
      <c r="J5" s="5">
        <f>SUM(H5:I5)</f>
        <v>10908</v>
      </c>
      <c r="K5" s="5" t="s">
        <v>32</v>
      </c>
      <c r="L5" s="25">
        <f t="shared" si="0"/>
        <v>244.37975326581537</v>
      </c>
      <c r="M5" s="25">
        <v>2665694.3486235142</v>
      </c>
      <c r="N5" s="6">
        <f>256.756756756757*G5*12</f>
        <v>36972.97297297301</v>
      </c>
      <c r="O5" s="6">
        <v>0</v>
      </c>
      <c r="P5" s="6" t="s">
        <v>33</v>
      </c>
      <c r="Q5" s="21"/>
    </row>
    <row r="6" spans="1:18" ht="12.75" customHeight="1" x14ac:dyDescent="0.25">
      <c r="A6" s="4" t="s">
        <v>38</v>
      </c>
      <c r="B6" s="4" t="s">
        <v>55</v>
      </c>
      <c r="C6" s="4" t="s">
        <v>29</v>
      </c>
      <c r="D6" s="4" t="s">
        <v>56</v>
      </c>
      <c r="E6" s="4">
        <v>1980</v>
      </c>
      <c r="F6" s="4">
        <v>1</v>
      </c>
      <c r="G6" s="4">
        <v>0</v>
      </c>
      <c r="H6" s="5" t="s">
        <v>32</v>
      </c>
      <c r="I6" s="5">
        <f>1659+2292+1799+1582+1769+883+332+332+332+332</f>
        <v>11312</v>
      </c>
      <c r="J6" s="5">
        <f>SUM(H6:I6)</f>
        <v>11312</v>
      </c>
      <c r="K6" s="5" t="s">
        <v>32</v>
      </c>
      <c r="L6" s="25">
        <f>M6/J6</f>
        <v>57.941779526166904</v>
      </c>
      <c r="M6" s="25">
        <v>655437.41</v>
      </c>
      <c r="N6" s="6">
        <v>0</v>
      </c>
      <c r="O6" s="6">
        <v>0</v>
      </c>
      <c r="P6" s="6" t="s">
        <v>33</v>
      </c>
      <c r="Q6" s="21"/>
    </row>
    <row r="7" spans="1:18" ht="12.75" customHeight="1" x14ac:dyDescent="0.25">
      <c r="B7" s="8"/>
      <c r="D7" s="9"/>
      <c r="E7" s="8"/>
      <c r="F7" s="7"/>
      <c r="G7" s="7"/>
      <c r="H7" s="7"/>
      <c r="I7" s="10"/>
      <c r="J7" s="10"/>
      <c r="K7" s="11"/>
      <c r="L7" s="12"/>
      <c r="N7" s="18"/>
      <c r="O7" s="18"/>
      <c r="P7" s="18"/>
    </row>
    <row r="8" spans="1:18" x14ac:dyDescent="0.25">
      <c r="C8" s="48" t="s">
        <v>30</v>
      </c>
      <c r="G8" s="13">
        <f>SUM(G2:G6)</f>
        <v>74</v>
      </c>
      <c r="H8" s="14">
        <f>SUM(H2:H6)</f>
        <v>68130</v>
      </c>
      <c r="I8" s="14">
        <f>SUM(I2:I6)</f>
        <v>11312</v>
      </c>
      <c r="J8" s="14">
        <f>SUM(J2:J6)</f>
        <v>79442</v>
      </c>
      <c r="K8" s="14"/>
      <c r="L8" s="49"/>
      <c r="M8" s="15">
        <f>SUM(M2:M6)</f>
        <v>17305030</v>
      </c>
      <c r="N8" s="16">
        <f>SUM(N2:N6)</f>
        <v>228000.0000000002</v>
      </c>
      <c r="O8" s="16">
        <f>SUM(O2:O6)</f>
        <v>0</v>
      </c>
      <c r="P8" s="16"/>
      <c r="Q8" s="63">
        <v>200000</v>
      </c>
    </row>
    <row r="9" spans="1:18" x14ac:dyDescent="0.25">
      <c r="C9" s="48"/>
      <c r="E9" s="28"/>
      <c r="F9" s="28" t="s">
        <v>57</v>
      </c>
      <c r="G9" s="13">
        <v>28</v>
      </c>
      <c r="H9" s="8"/>
      <c r="I9" s="14"/>
      <c r="J9" s="14"/>
      <c r="K9" s="14"/>
      <c r="L9" s="72" t="s">
        <v>59</v>
      </c>
      <c r="M9" s="15">
        <f>M8+N8+Q8</f>
        <v>17733030</v>
      </c>
      <c r="N9" s="16"/>
      <c r="O9" s="16"/>
      <c r="P9" s="16"/>
    </row>
    <row r="10" spans="1:18" x14ac:dyDescent="0.25">
      <c r="E10" s="28"/>
      <c r="F10" s="28" t="s">
        <v>49</v>
      </c>
      <c r="G10" s="64">
        <f>G9/G8</f>
        <v>0.3783783783783784</v>
      </c>
      <c r="J10" s="61"/>
      <c r="K10" s="61"/>
      <c r="L10" s="62"/>
      <c r="M10" s="63"/>
    </row>
    <row r="11" spans="1:18" x14ac:dyDescent="0.25">
      <c r="E11" s="20"/>
    </row>
    <row r="12" spans="1:18" x14ac:dyDescent="0.25">
      <c r="E12" s="20"/>
      <c r="J12"/>
      <c r="K12" s="58"/>
      <c r="L12" s="59"/>
      <c r="M12"/>
      <c r="N12"/>
    </row>
    <row r="13" spans="1:18" x14ac:dyDescent="0.25">
      <c r="H13" s="18"/>
      <c r="J13"/>
    </row>
    <row r="14" spans="1:18" x14ac:dyDescent="0.25">
      <c r="H14"/>
      <c r="I14"/>
      <c r="J14"/>
      <c r="K14" s="57"/>
      <c r="L14" s="59"/>
      <c r="M14"/>
      <c r="N14" s="51"/>
      <c r="O14" s="24"/>
      <c r="P14" s="24"/>
    </row>
    <row r="15" spans="1:18" x14ac:dyDescent="0.25">
      <c r="B15" s="8"/>
      <c r="C15" s="17"/>
      <c r="J15"/>
      <c r="K15"/>
      <c r="L15" s="59"/>
      <c r="M15" s="51"/>
      <c r="N15" s="53"/>
    </row>
    <row r="16" spans="1:18" x14ac:dyDescent="0.25">
      <c r="B16" s="44" t="s">
        <v>14</v>
      </c>
      <c r="C16" s="45"/>
      <c r="D16" s="45"/>
      <c r="E16" s="45"/>
      <c r="F16" s="45"/>
      <c r="G16" s="45"/>
      <c r="H16" s="46"/>
      <c r="J16"/>
      <c r="K16"/>
      <c r="L16" s="60"/>
      <c r="M16"/>
      <c r="N16" s="53"/>
    </row>
    <row r="17" spans="2:14" x14ac:dyDescent="0.25">
      <c r="B17" s="66" t="s">
        <v>34</v>
      </c>
      <c r="C17" s="29" t="s">
        <v>15</v>
      </c>
      <c r="D17" s="29" t="s">
        <v>16</v>
      </c>
      <c r="E17" s="29" t="s">
        <v>17</v>
      </c>
      <c r="F17" s="29" t="s">
        <v>18</v>
      </c>
      <c r="G17" s="31"/>
      <c r="H17" s="43"/>
      <c r="K17" s="28" t="s">
        <v>1</v>
      </c>
      <c r="L17" s="67"/>
      <c r="M17" s="67"/>
      <c r="N17" s="53"/>
    </row>
    <row r="18" spans="2:14" x14ac:dyDescent="0.25">
      <c r="B18" s="66"/>
      <c r="C18" s="26" t="s">
        <v>19</v>
      </c>
      <c r="D18" s="27"/>
      <c r="E18" s="27"/>
      <c r="F18" s="27">
        <v>10926</v>
      </c>
      <c r="G18" s="32"/>
      <c r="H18" s="33"/>
      <c r="L18" s="68" t="s">
        <v>3</v>
      </c>
      <c r="M18" s="68"/>
      <c r="N18" s="53"/>
    </row>
    <row r="19" spans="2:14" x14ac:dyDescent="0.25">
      <c r="B19" s="30"/>
      <c r="C19" s="26" t="s">
        <v>20</v>
      </c>
      <c r="D19" s="27"/>
      <c r="E19" s="27"/>
      <c r="F19" s="27">
        <v>10926</v>
      </c>
      <c r="G19" s="32"/>
      <c r="H19" s="33"/>
      <c r="L19" s="20"/>
      <c r="M19" s="20"/>
      <c r="N19" s="53"/>
    </row>
    <row r="20" spans="2:14" x14ac:dyDescent="0.25">
      <c r="B20" s="30"/>
      <c r="C20" s="26" t="s">
        <v>23</v>
      </c>
      <c r="D20" s="27"/>
      <c r="E20" s="27"/>
      <c r="F20" s="27">
        <v>10926</v>
      </c>
      <c r="G20" s="32"/>
      <c r="H20" s="42" t="s">
        <v>22</v>
      </c>
      <c r="K20" s="28" t="s">
        <v>2</v>
      </c>
      <c r="L20" s="69"/>
      <c r="M20" s="69"/>
      <c r="N20" s="53"/>
    </row>
    <row r="21" spans="2:14" x14ac:dyDescent="0.25">
      <c r="B21" s="34"/>
      <c r="C21" s="31"/>
      <c r="D21" s="32">
        <f>SUM(D18:D20)</f>
        <v>0</v>
      </c>
      <c r="E21" s="32">
        <f>SUM(E18:E20)</f>
        <v>0</v>
      </c>
      <c r="F21" s="32">
        <f>SUM(F18:F20)</f>
        <v>32778</v>
      </c>
      <c r="G21" s="32"/>
      <c r="H21" s="33">
        <f>SUM(D21:G21)</f>
        <v>32778</v>
      </c>
      <c r="L21" s="68" t="s">
        <v>25</v>
      </c>
      <c r="M21" s="68"/>
    </row>
    <row r="22" spans="2:14" x14ac:dyDescent="0.25">
      <c r="B22" s="30"/>
      <c r="C22" s="35"/>
      <c r="D22" s="35"/>
      <c r="E22" s="35"/>
      <c r="F22" s="35"/>
      <c r="G22" s="35"/>
      <c r="H22" s="36"/>
    </row>
    <row r="23" spans="2:14" x14ac:dyDescent="0.25">
      <c r="B23" s="47"/>
      <c r="C23" s="38" t="s">
        <v>21</v>
      </c>
      <c r="D23" s="39">
        <f>D21/H21</f>
        <v>0</v>
      </c>
      <c r="E23" s="39">
        <f>E21/H21</f>
        <v>0</v>
      </c>
      <c r="F23" s="39">
        <f>F21/H21</f>
        <v>1</v>
      </c>
      <c r="G23" s="40"/>
      <c r="H23" s="41"/>
    </row>
    <row r="25" spans="2:14" x14ac:dyDescent="0.25">
      <c r="B25" s="44" t="s">
        <v>14</v>
      </c>
      <c r="C25" s="45"/>
      <c r="D25" s="45"/>
      <c r="E25" s="45"/>
      <c r="F25" s="45"/>
      <c r="G25" s="45"/>
      <c r="H25" s="46"/>
    </row>
    <row r="26" spans="2:14" x14ac:dyDescent="0.25">
      <c r="B26" s="66" t="s">
        <v>35</v>
      </c>
      <c r="C26" s="29" t="s">
        <v>15</v>
      </c>
      <c r="D26" s="29" t="s">
        <v>16</v>
      </c>
      <c r="E26" s="29" t="s">
        <v>17</v>
      </c>
      <c r="F26" s="29" t="s">
        <v>18</v>
      </c>
      <c r="G26" s="31"/>
      <c r="H26" s="43"/>
    </row>
    <row r="27" spans="2:14" x14ac:dyDescent="0.25">
      <c r="B27" s="66"/>
      <c r="C27" s="26" t="s">
        <v>19</v>
      </c>
      <c r="D27" s="27"/>
      <c r="E27" s="27"/>
      <c r="F27" s="27">
        <v>5454</v>
      </c>
      <c r="G27" s="32"/>
      <c r="H27" s="33"/>
    </row>
    <row r="28" spans="2:14" x14ac:dyDescent="0.25">
      <c r="B28" s="30"/>
      <c r="C28" s="26" t="s">
        <v>20</v>
      </c>
      <c r="D28" s="27"/>
      <c r="E28" s="27"/>
      <c r="F28" s="27">
        <v>5454</v>
      </c>
      <c r="G28" s="32"/>
      <c r="H28" s="33"/>
    </row>
    <row r="29" spans="2:14" x14ac:dyDescent="0.25">
      <c r="B29" s="30"/>
      <c r="C29" s="26" t="s">
        <v>23</v>
      </c>
      <c r="D29" s="27"/>
      <c r="E29" s="27"/>
      <c r="F29" s="27">
        <v>5454</v>
      </c>
      <c r="G29" s="32"/>
      <c r="H29" s="42" t="s">
        <v>22</v>
      </c>
    </row>
    <row r="30" spans="2:14" x14ac:dyDescent="0.25">
      <c r="B30" s="34"/>
      <c r="C30" s="31"/>
      <c r="D30" s="32">
        <f>SUM(D27:D29)</f>
        <v>0</v>
      </c>
      <c r="E30" s="32">
        <f>SUM(E27:E29)</f>
        <v>0</v>
      </c>
      <c r="F30" s="32">
        <f>SUM(F27:F29)</f>
        <v>16362</v>
      </c>
      <c r="G30" s="32"/>
      <c r="H30" s="33">
        <f>SUM(D30:G30)</f>
        <v>16362</v>
      </c>
    </row>
    <row r="31" spans="2:14" x14ac:dyDescent="0.25">
      <c r="B31" s="30"/>
      <c r="C31" s="35"/>
      <c r="D31" s="35"/>
      <c r="E31" s="35"/>
      <c r="F31" s="35"/>
      <c r="G31" s="35"/>
      <c r="H31" s="36"/>
    </row>
    <row r="32" spans="2:14" x14ac:dyDescent="0.25">
      <c r="B32" s="47"/>
      <c r="C32" s="38" t="s">
        <v>21</v>
      </c>
      <c r="D32" s="39">
        <f>D30/H30</f>
        <v>0</v>
      </c>
      <c r="E32" s="39">
        <f>E30/H30</f>
        <v>0</v>
      </c>
      <c r="F32" s="39">
        <f>F30/H30</f>
        <v>1</v>
      </c>
      <c r="G32" s="40"/>
      <c r="H32" s="41"/>
    </row>
    <row r="34" spans="2:12" x14ac:dyDescent="0.25">
      <c r="B34" s="44" t="s">
        <v>14</v>
      </c>
      <c r="C34" s="45"/>
      <c r="D34" s="45"/>
      <c r="E34" s="45"/>
      <c r="F34" s="45"/>
      <c r="G34" s="45"/>
      <c r="H34" s="46"/>
      <c r="L34" s="3"/>
    </row>
    <row r="35" spans="2:12" x14ac:dyDescent="0.25">
      <c r="B35" s="66" t="s">
        <v>36</v>
      </c>
      <c r="C35" s="29" t="s">
        <v>15</v>
      </c>
      <c r="D35" s="29" t="s">
        <v>16</v>
      </c>
      <c r="E35" s="29" t="s">
        <v>17</v>
      </c>
      <c r="F35" s="29" t="s">
        <v>18</v>
      </c>
      <c r="G35" s="31"/>
      <c r="H35" s="43"/>
      <c r="L35" s="3"/>
    </row>
    <row r="36" spans="2:12" x14ac:dyDescent="0.25">
      <c r="B36" s="66"/>
      <c r="C36" s="26" t="s">
        <v>19</v>
      </c>
      <c r="D36" s="27"/>
      <c r="E36" s="27"/>
      <c r="F36" s="27">
        <v>4041</v>
      </c>
      <c r="G36" s="32"/>
      <c r="H36" s="33"/>
    </row>
    <row r="37" spans="2:12" x14ac:dyDescent="0.25">
      <c r="B37" s="30"/>
      <c r="C37" s="26" t="s">
        <v>20</v>
      </c>
      <c r="D37" s="27"/>
      <c r="E37" s="27"/>
      <c r="F37" s="27">
        <v>4041</v>
      </c>
      <c r="G37" s="32"/>
      <c r="H37" s="42" t="s">
        <v>22</v>
      </c>
    </row>
    <row r="38" spans="2:12" x14ac:dyDescent="0.25">
      <c r="B38" s="30"/>
      <c r="C38" s="31"/>
      <c r="D38" s="32">
        <f>SUM(D36:D37)</f>
        <v>0</v>
      </c>
      <c r="E38" s="32">
        <f>SUM(E36:E36)</f>
        <v>0</v>
      </c>
      <c r="F38" s="32">
        <f>SUM(F36:F37)</f>
        <v>8082</v>
      </c>
      <c r="G38" s="32"/>
      <c r="H38" s="33">
        <f>SUM(D38:G38)</f>
        <v>8082</v>
      </c>
    </row>
    <row r="39" spans="2:12" x14ac:dyDescent="0.25">
      <c r="B39" s="34"/>
      <c r="C39" s="35"/>
      <c r="D39" s="35"/>
      <c r="E39" s="35"/>
      <c r="F39" s="35"/>
      <c r="G39" s="35"/>
      <c r="H39" s="36"/>
    </row>
    <row r="40" spans="2:12" x14ac:dyDescent="0.25">
      <c r="B40" s="37"/>
      <c r="C40" s="38" t="s">
        <v>21</v>
      </c>
      <c r="D40" s="39">
        <f>D38/H38</f>
        <v>0</v>
      </c>
      <c r="E40" s="39">
        <f>E38/H38</f>
        <v>0</v>
      </c>
      <c r="F40" s="39">
        <f>F38/H38</f>
        <v>1</v>
      </c>
      <c r="G40" s="40"/>
      <c r="H40" s="41"/>
    </row>
    <row r="42" spans="2:12" x14ac:dyDescent="0.25">
      <c r="B42" s="44" t="s">
        <v>14</v>
      </c>
      <c r="C42" s="45"/>
      <c r="D42" s="45"/>
      <c r="E42" s="45"/>
      <c r="F42" s="45"/>
      <c r="G42" s="45"/>
      <c r="H42" s="46"/>
      <c r="L42" s="3"/>
    </row>
    <row r="43" spans="2:12" x14ac:dyDescent="0.25">
      <c r="B43" s="66" t="s">
        <v>37</v>
      </c>
      <c r="C43" s="29" t="s">
        <v>15</v>
      </c>
      <c r="D43" s="29" t="s">
        <v>16</v>
      </c>
      <c r="E43" s="29" t="s">
        <v>17</v>
      </c>
      <c r="F43" s="29" t="s">
        <v>18</v>
      </c>
      <c r="G43" s="31"/>
      <c r="H43" s="43"/>
      <c r="L43" s="3"/>
    </row>
    <row r="44" spans="2:12" x14ac:dyDescent="0.25">
      <c r="B44" s="66"/>
      <c r="C44" s="26" t="s">
        <v>19</v>
      </c>
      <c r="D44" s="27"/>
      <c r="E44" s="27"/>
      <c r="F44" s="27">
        <v>5454</v>
      </c>
      <c r="G44" s="32"/>
      <c r="H44" s="33"/>
    </row>
    <row r="45" spans="2:12" x14ac:dyDescent="0.25">
      <c r="B45" s="30"/>
      <c r="C45" s="26" t="s">
        <v>20</v>
      </c>
      <c r="D45" s="27"/>
      <c r="E45" s="27"/>
      <c r="F45" s="27">
        <v>5454</v>
      </c>
      <c r="G45" s="32"/>
      <c r="H45" s="42" t="s">
        <v>22</v>
      </c>
    </row>
    <row r="46" spans="2:12" x14ac:dyDescent="0.25">
      <c r="B46" s="30"/>
      <c r="C46" s="31"/>
      <c r="D46" s="32">
        <f>SUM(D44:D45)</f>
        <v>0</v>
      </c>
      <c r="E46" s="32">
        <f>SUM(E44:E44)</f>
        <v>0</v>
      </c>
      <c r="F46" s="32">
        <f>SUM(F44:F45)</f>
        <v>10908</v>
      </c>
      <c r="G46" s="32"/>
      <c r="H46" s="33">
        <f>SUM(D46:G46)</f>
        <v>10908</v>
      </c>
    </row>
    <row r="47" spans="2:12" x14ac:dyDescent="0.25">
      <c r="B47" s="34"/>
      <c r="C47" s="35"/>
      <c r="D47" s="35"/>
      <c r="E47" s="35"/>
      <c r="F47" s="35"/>
      <c r="G47" s="35"/>
      <c r="H47" s="36"/>
    </row>
    <row r="48" spans="2:12" x14ac:dyDescent="0.25">
      <c r="B48" s="37"/>
      <c r="C48" s="38" t="s">
        <v>21</v>
      </c>
      <c r="D48" s="39">
        <f>D46/H46</f>
        <v>0</v>
      </c>
      <c r="E48" s="39">
        <f>E46/H46</f>
        <v>0</v>
      </c>
      <c r="F48" s="39">
        <f>F46/H46</f>
        <v>1</v>
      </c>
      <c r="G48" s="40"/>
      <c r="H48" s="41"/>
    </row>
  </sheetData>
  <mergeCells count="8">
    <mergeCell ref="B35:B36"/>
    <mergeCell ref="B43:B44"/>
    <mergeCell ref="B17:B18"/>
    <mergeCell ref="L17:M17"/>
    <mergeCell ref="L18:M18"/>
    <mergeCell ref="L20:M20"/>
    <mergeCell ref="L21:M21"/>
    <mergeCell ref="B26:B27"/>
  </mergeCells>
  <pageMargins left="0.75" right="0.75" top="1" bottom="1" header="0.5" footer="0.5"/>
  <pageSetup scale="54" fitToHeight="0" orientation="landscape" r:id="rId1"/>
  <headerFooter alignWithMargins="0">
    <oddHeader>&amp;LKingston Bay View Estates Association of Apartment Owners&amp;C&amp;"-,Bold"&amp;14 2024 Statement of Values&amp;R&amp;"-,Regular"&amp;11The Partners Group, LLC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38A3-2E8F-48EC-9ABF-FD498FA67299}">
  <sheetPr>
    <tabColor rgb="FF0070C0"/>
    <pageSetUpPr fitToPage="1"/>
  </sheetPr>
  <dimension ref="A1:Q48"/>
  <sheetViews>
    <sheetView view="pageLayout" zoomScale="85" zoomScaleNormal="160" zoomScalePageLayoutView="85" workbookViewId="0">
      <selection activeCell="M2" sqref="M2:M6"/>
    </sheetView>
  </sheetViews>
  <sheetFormatPr defaultRowHeight="15" x14ac:dyDescent="0.25"/>
  <cols>
    <col min="1" max="1" width="11.7109375" style="3" customWidth="1"/>
    <col min="2" max="2" width="13.5703125" style="3" customWidth="1"/>
    <col min="3" max="3" width="25.28515625" style="3" customWidth="1"/>
    <col min="4" max="4" width="12.5703125" style="3" customWidth="1"/>
    <col min="5" max="5" width="12.28515625" style="3" customWidth="1"/>
    <col min="6" max="6" width="11.5703125" style="3" customWidth="1"/>
    <col min="7" max="7" width="9.5703125" style="3" customWidth="1"/>
    <col min="8" max="10" width="11.7109375" style="3" customWidth="1"/>
    <col min="11" max="11" width="12.28515625" style="3" customWidth="1"/>
    <col min="12" max="12" width="11.28515625" style="17" customWidth="1"/>
    <col min="13" max="13" width="14.5703125" style="3" customWidth="1"/>
    <col min="14" max="14" width="16.140625" style="3" customWidth="1"/>
    <col min="15" max="16" width="10.140625" style="3" customWidth="1"/>
    <col min="17" max="17" width="10.28515625" style="3" customWidth="1"/>
    <col min="18" max="18" width="13" style="3" bestFit="1" customWidth="1"/>
    <col min="19" max="16384" width="9.140625" style="3"/>
  </cols>
  <sheetData>
    <row r="1" spans="1:17" ht="30" x14ac:dyDescent="0.25">
      <c r="A1" s="1" t="s">
        <v>0</v>
      </c>
      <c r="B1" s="1" t="s">
        <v>0</v>
      </c>
      <c r="C1" s="1" t="s">
        <v>4</v>
      </c>
      <c r="D1" s="1" t="s">
        <v>13</v>
      </c>
      <c r="E1" s="1" t="s">
        <v>12</v>
      </c>
      <c r="F1" s="1" t="s">
        <v>5</v>
      </c>
      <c r="G1" s="1" t="s">
        <v>6</v>
      </c>
      <c r="H1" s="1" t="s">
        <v>26</v>
      </c>
      <c r="I1" s="1" t="s">
        <v>27</v>
      </c>
      <c r="J1" s="1" t="s">
        <v>28</v>
      </c>
      <c r="K1" s="1" t="s">
        <v>10</v>
      </c>
      <c r="L1" s="1" t="s">
        <v>7</v>
      </c>
      <c r="M1" s="1" t="s">
        <v>11</v>
      </c>
      <c r="N1" s="2" t="s">
        <v>8</v>
      </c>
      <c r="O1" s="2" t="s">
        <v>24</v>
      </c>
      <c r="P1" s="2" t="s">
        <v>9</v>
      </c>
    </row>
    <row r="2" spans="1:17" ht="12.75" customHeight="1" x14ac:dyDescent="0.25">
      <c r="A2" s="4">
        <v>1</v>
      </c>
      <c r="B2" s="4" t="s">
        <v>51</v>
      </c>
      <c r="C2" s="4" t="s">
        <v>29</v>
      </c>
      <c r="D2" s="4" t="s">
        <v>56</v>
      </c>
      <c r="E2" s="4">
        <v>1980</v>
      </c>
      <c r="F2" s="4">
        <v>3</v>
      </c>
      <c r="G2" s="4">
        <v>36</v>
      </c>
      <c r="H2" s="5">
        <f>H21</f>
        <v>32778</v>
      </c>
      <c r="I2" s="5">
        <v>0</v>
      </c>
      <c r="J2" s="5">
        <f>SUM(H2:I2)</f>
        <v>32778</v>
      </c>
      <c r="K2" s="5" t="s">
        <v>32</v>
      </c>
      <c r="L2" s="25">
        <f t="shared" ref="L2:L5" si="0">M2/J2</f>
        <v>244.37975326581534</v>
      </c>
      <c r="M2" s="25">
        <v>8010279.5525468951</v>
      </c>
      <c r="N2" s="6">
        <f>256.756756756757*G2*12</f>
        <v>110918.91891891902</v>
      </c>
      <c r="O2" s="6">
        <v>0</v>
      </c>
      <c r="P2" s="6" t="s">
        <v>33</v>
      </c>
    </row>
    <row r="3" spans="1:17" ht="12.75" customHeight="1" x14ac:dyDescent="0.25">
      <c r="A3" s="4">
        <v>2</v>
      </c>
      <c r="B3" s="4" t="s">
        <v>52</v>
      </c>
      <c r="C3" s="4" t="s">
        <v>40</v>
      </c>
      <c r="D3" s="4" t="s">
        <v>56</v>
      </c>
      <c r="E3" s="4">
        <v>1980</v>
      </c>
      <c r="F3" s="4">
        <v>3</v>
      </c>
      <c r="G3" s="4">
        <v>18</v>
      </c>
      <c r="H3" s="5">
        <f>H30</f>
        <v>16362</v>
      </c>
      <c r="I3" s="5">
        <v>0</v>
      </c>
      <c r="J3" s="5">
        <f>SUM(H3:I3)</f>
        <v>16362</v>
      </c>
      <c r="K3" s="5" t="s">
        <v>32</v>
      </c>
      <c r="L3" s="25">
        <f t="shared" si="0"/>
        <v>244.37975326581537</v>
      </c>
      <c r="M3" s="25">
        <v>3998541.5229352713</v>
      </c>
      <c r="N3" s="6">
        <f>256.756756756757*G3*12</f>
        <v>55459.459459459511</v>
      </c>
      <c r="O3" s="6">
        <v>0</v>
      </c>
      <c r="P3" s="6" t="s">
        <v>33</v>
      </c>
      <c r="Q3" s="49"/>
    </row>
    <row r="4" spans="1:17" ht="12.75" customHeight="1" x14ac:dyDescent="0.25">
      <c r="A4" s="4">
        <v>3</v>
      </c>
      <c r="B4" s="4" t="s">
        <v>53</v>
      </c>
      <c r="C4" s="4" t="s">
        <v>41</v>
      </c>
      <c r="D4" s="4" t="s">
        <v>56</v>
      </c>
      <c r="E4" s="4">
        <v>1980</v>
      </c>
      <c r="F4" s="4">
        <v>2</v>
      </c>
      <c r="G4" s="4">
        <v>8</v>
      </c>
      <c r="H4" s="5">
        <f>H38</f>
        <v>8082</v>
      </c>
      <c r="I4" s="5">
        <v>0</v>
      </c>
      <c r="J4" s="5">
        <f>SUM(H4:I4)</f>
        <v>8082</v>
      </c>
      <c r="K4" s="5" t="s">
        <v>32</v>
      </c>
      <c r="L4" s="25">
        <f t="shared" si="0"/>
        <v>244.37975326581537</v>
      </c>
      <c r="M4" s="25">
        <v>1975077.1658943198</v>
      </c>
      <c r="N4" s="6">
        <f>256.756756756757*G4*12</f>
        <v>24648.648648648672</v>
      </c>
      <c r="O4" s="6">
        <v>0</v>
      </c>
      <c r="P4" s="6" t="s">
        <v>33</v>
      </c>
      <c r="Q4" s="49"/>
    </row>
    <row r="5" spans="1:17" ht="12.75" customHeight="1" x14ac:dyDescent="0.25">
      <c r="A5" s="4">
        <v>4</v>
      </c>
      <c r="B5" s="4" t="s">
        <v>54</v>
      </c>
      <c r="C5" s="4" t="s">
        <v>42</v>
      </c>
      <c r="D5" s="4" t="s">
        <v>56</v>
      </c>
      <c r="E5" s="4">
        <v>1980</v>
      </c>
      <c r="F5" s="4">
        <v>2</v>
      </c>
      <c r="G5" s="4">
        <v>12</v>
      </c>
      <c r="H5" s="5">
        <f>H46</f>
        <v>10908</v>
      </c>
      <c r="I5" s="5">
        <v>0</v>
      </c>
      <c r="J5" s="5">
        <f>SUM(H5:I5)</f>
        <v>10908</v>
      </c>
      <c r="K5" s="5" t="s">
        <v>32</v>
      </c>
      <c r="L5" s="25">
        <f t="shared" si="0"/>
        <v>244.37975326581537</v>
      </c>
      <c r="M5" s="25">
        <v>2665694.3486235142</v>
      </c>
      <c r="N5" s="6">
        <f>256.756756756757*G5*12</f>
        <v>36972.97297297301</v>
      </c>
      <c r="O5" s="6">
        <v>0</v>
      </c>
      <c r="P5" s="6" t="s">
        <v>33</v>
      </c>
    </row>
    <row r="6" spans="1:17" ht="12.75" customHeight="1" x14ac:dyDescent="0.25">
      <c r="A6" s="4" t="s">
        <v>38</v>
      </c>
      <c r="B6" s="4" t="s">
        <v>55</v>
      </c>
      <c r="C6" s="4" t="s">
        <v>29</v>
      </c>
      <c r="D6" s="4" t="s">
        <v>56</v>
      </c>
      <c r="E6" s="4">
        <v>1980</v>
      </c>
      <c r="F6" s="4">
        <v>1</v>
      </c>
      <c r="G6" s="4">
        <v>0</v>
      </c>
      <c r="H6" s="5" t="s">
        <v>32</v>
      </c>
      <c r="I6" s="5">
        <f>1659+2292+1799+1582+1769+883+332+332+332+332</f>
        <v>11312</v>
      </c>
      <c r="J6" s="5">
        <f>SUM(H6:I6)</f>
        <v>11312</v>
      </c>
      <c r="K6" s="5" t="s">
        <v>32</v>
      </c>
      <c r="L6" s="25">
        <f>M6/J6</f>
        <v>57.941779526166904</v>
      </c>
      <c r="M6" s="25">
        <v>655437.41</v>
      </c>
      <c r="N6" s="6">
        <v>0</v>
      </c>
      <c r="O6" s="6">
        <v>0</v>
      </c>
      <c r="P6" s="6" t="s">
        <v>33</v>
      </c>
    </row>
    <row r="7" spans="1:17" ht="12.75" customHeight="1" x14ac:dyDescent="0.25">
      <c r="B7" s="8"/>
      <c r="D7" s="9"/>
      <c r="E7" s="8"/>
      <c r="F7" s="7"/>
      <c r="G7" s="7"/>
      <c r="H7" s="7"/>
      <c r="I7" s="10"/>
      <c r="J7" s="10"/>
      <c r="K7" s="11"/>
      <c r="L7" s="12"/>
      <c r="N7" s="18"/>
      <c r="O7" s="18"/>
      <c r="P7" s="18"/>
    </row>
    <row r="8" spans="1:17" x14ac:dyDescent="0.25">
      <c r="C8" s="48" t="s">
        <v>30</v>
      </c>
      <c r="G8" s="13">
        <f>SUM(G2:G6)</f>
        <v>74</v>
      </c>
      <c r="H8" s="14">
        <f>SUM(H2:H6)</f>
        <v>68130</v>
      </c>
      <c r="I8" s="14">
        <f>SUM(I2:I6)</f>
        <v>11312</v>
      </c>
      <c r="J8" s="14">
        <f>SUM(J2:J6)</f>
        <v>79442</v>
      </c>
      <c r="K8" s="14"/>
      <c r="L8" s="49"/>
      <c r="M8" s="15">
        <f>SUM(M2:M6)</f>
        <v>17305030</v>
      </c>
      <c r="N8" s="16">
        <f>SUM(N2:N6)</f>
        <v>228000.0000000002</v>
      </c>
      <c r="O8" s="16">
        <f>SUM(O2:O6)</f>
        <v>0</v>
      </c>
      <c r="P8" s="16"/>
    </row>
    <row r="9" spans="1:17" x14ac:dyDescent="0.25">
      <c r="C9" s="48"/>
      <c r="E9" s="28"/>
      <c r="F9" s="28" t="s">
        <v>57</v>
      </c>
      <c r="G9" s="13">
        <v>28</v>
      </c>
      <c r="H9" s="8"/>
      <c r="I9" s="14"/>
      <c r="J9" s="14"/>
      <c r="K9" s="14"/>
      <c r="L9" s="49"/>
      <c r="M9" s="15"/>
      <c r="N9" s="16"/>
      <c r="O9" s="16"/>
      <c r="P9" s="16"/>
    </row>
    <row r="10" spans="1:17" x14ac:dyDescent="0.25">
      <c r="E10" s="28"/>
      <c r="F10" s="28" t="s">
        <v>49</v>
      </c>
      <c r="G10" s="64">
        <f>G9/G8</f>
        <v>0.3783783783783784</v>
      </c>
      <c r="J10" s="61"/>
      <c r="K10" s="61"/>
      <c r="L10" s="65"/>
      <c r="M10" s="63"/>
    </row>
    <row r="11" spans="1:17" x14ac:dyDescent="0.25">
      <c r="E11" s="20"/>
    </row>
    <row r="12" spans="1:17" x14ac:dyDescent="0.25">
      <c r="E12" s="20"/>
      <c r="J12"/>
      <c r="K12" s="58"/>
      <c r="L12" s="59"/>
      <c r="M12" s="51"/>
      <c r="N12"/>
    </row>
    <row r="13" spans="1:17" x14ac:dyDescent="0.25">
      <c r="H13" s="18"/>
      <c r="J13"/>
      <c r="N13" s="49"/>
    </row>
    <row r="14" spans="1:17" x14ac:dyDescent="0.25">
      <c r="H14"/>
      <c r="I14"/>
      <c r="J14"/>
      <c r="K14" s="57"/>
      <c r="L14" s="59"/>
      <c r="M14"/>
      <c r="N14" s="51"/>
      <c r="O14" s="24"/>
      <c r="P14" s="24"/>
    </row>
    <row r="15" spans="1:17" x14ac:dyDescent="0.25">
      <c r="B15" s="8"/>
      <c r="C15" s="17"/>
      <c r="J15"/>
      <c r="K15"/>
      <c r="L15" s="59"/>
      <c r="M15" s="51"/>
      <c r="N15" s="53"/>
    </row>
    <row r="16" spans="1:17" x14ac:dyDescent="0.25">
      <c r="B16" s="44" t="s">
        <v>14</v>
      </c>
      <c r="C16" s="45"/>
      <c r="D16" s="45"/>
      <c r="E16" s="45"/>
      <c r="F16" s="45"/>
      <c r="G16" s="45"/>
      <c r="H16" s="46"/>
      <c r="J16"/>
      <c r="K16"/>
      <c r="L16" s="60"/>
      <c r="M16"/>
      <c r="N16" s="53"/>
    </row>
    <row r="17" spans="2:14" x14ac:dyDescent="0.25">
      <c r="B17" s="66" t="s">
        <v>34</v>
      </c>
      <c r="C17" s="29" t="s">
        <v>15</v>
      </c>
      <c r="D17" s="29" t="s">
        <v>16</v>
      </c>
      <c r="E17" s="29" t="s">
        <v>17</v>
      </c>
      <c r="F17" s="29" t="s">
        <v>18</v>
      </c>
      <c r="G17" s="31"/>
      <c r="H17" s="43"/>
      <c r="K17" s="28" t="s">
        <v>1</v>
      </c>
      <c r="L17" s="67"/>
      <c r="M17" s="67"/>
      <c r="N17" s="53"/>
    </row>
    <row r="18" spans="2:14" x14ac:dyDescent="0.25">
      <c r="B18" s="66"/>
      <c r="C18" s="26" t="s">
        <v>19</v>
      </c>
      <c r="D18" s="27"/>
      <c r="E18" s="27"/>
      <c r="F18" s="27">
        <v>10926</v>
      </c>
      <c r="G18" s="32"/>
      <c r="H18" s="33"/>
      <c r="L18" s="68" t="s">
        <v>3</v>
      </c>
      <c r="M18" s="68"/>
      <c r="N18" s="53"/>
    </row>
    <row r="19" spans="2:14" x14ac:dyDescent="0.25">
      <c r="B19" s="30"/>
      <c r="C19" s="26" t="s">
        <v>20</v>
      </c>
      <c r="D19" s="27"/>
      <c r="E19" s="27"/>
      <c r="F19" s="27">
        <v>10926</v>
      </c>
      <c r="G19" s="32"/>
      <c r="H19" s="33"/>
      <c r="L19" s="20"/>
      <c r="M19" s="20"/>
      <c r="N19" s="53"/>
    </row>
    <row r="20" spans="2:14" x14ac:dyDescent="0.25">
      <c r="B20" s="30"/>
      <c r="C20" s="26" t="s">
        <v>23</v>
      </c>
      <c r="D20" s="27"/>
      <c r="E20" s="27"/>
      <c r="F20" s="27">
        <v>10926</v>
      </c>
      <c r="G20" s="32"/>
      <c r="H20" s="42" t="s">
        <v>22</v>
      </c>
      <c r="K20" s="28" t="s">
        <v>2</v>
      </c>
      <c r="L20" s="69"/>
      <c r="M20" s="69"/>
      <c r="N20" s="53"/>
    </row>
    <row r="21" spans="2:14" x14ac:dyDescent="0.25">
      <c r="B21" s="34"/>
      <c r="C21" s="31"/>
      <c r="D21" s="32">
        <f>SUM(D18:D20)</f>
        <v>0</v>
      </c>
      <c r="E21" s="32">
        <f>SUM(E18:E20)</f>
        <v>0</v>
      </c>
      <c r="F21" s="32">
        <f>SUM(F18:F20)</f>
        <v>32778</v>
      </c>
      <c r="G21" s="32"/>
      <c r="H21" s="33">
        <f>SUM(D21:G21)</f>
        <v>32778</v>
      </c>
      <c r="L21" s="68" t="s">
        <v>25</v>
      </c>
      <c r="M21" s="68"/>
    </row>
    <row r="22" spans="2:14" x14ac:dyDescent="0.25">
      <c r="B22" s="30"/>
      <c r="C22" s="35"/>
      <c r="D22" s="35"/>
      <c r="E22" s="35"/>
      <c r="F22" s="35"/>
      <c r="G22" s="35"/>
      <c r="H22" s="36"/>
    </row>
    <row r="23" spans="2:14" x14ac:dyDescent="0.25">
      <c r="B23" s="47"/>
      <c r="C23" s="38" t="s">
        <v>21</v>
      </c>
      <c r="D23" s="39">
        <f>D21/H21</f>
        <v>0</v>
      </c>
      <c r="E23" s="39">
        <f>E21/H21</f>
        <v>0</v>
      </c>
      <c r="F23" s="39">
        <f>F21/H21</f>
        <v>1</v>
      </c>
      <c r="G23" s="40"/>
      <c r="H23" s="41"/>
    </row>
    <row r="25" spans="2:14" x14ac:dyDescent="0.25">
      <c r="B25" s="44" t="s">
        <v>14</v>
      </c>
      <c r="C25" s="45"/>
      <c r="D25" s="45"/>
      <c r="E25" s="45"/>
      <c r="F25" s="45"/>
      <c r="G25" s="45"/>
      <c r="H25" s="46"/>
    </row>
    <row r="26" spans="2:14" x14ac:dyDescent="0.25">
      <c r="B26" s="66" t="s">
        <v>35</v>
      </c>
      <c r="C26" s="29" t="s">
        <v>15</v>
      </c>
      <c r="D26" s="29" t="s">
        <v>16</v>
      </c>
      <c r="E26" s="29" t="s">
        <v>17</v>
      </c>
      <c r="F26" s="29" t="s">
        <v>18</v>
      </c>
      <c r="G26" s="31"/>
      <c r="H26" s="43"/>
    </row>
    <row r="27" spans="2:14" x14ac:dyDescent="0.25">
      <c r="B27" s="66"/>
      <c r="C27" s="26" t="s">
        <v>19</v>
      </c>
      <c r="D27" s="27"/>
      <c r="E27" s="27"/>
      <c r="F27" s="27">
        <v>5454</v>
      </c>
      <c r="G27" s="32"/>
      <c r="H27" s="33"/>
    </row>
    <row r="28" spans="2:14" x14ac:dyDescent="0.25">
      <c r="B28" s="30"/>
      <c r="C28" s="26" t="s">
        <v>20</v>
      </c>
      <c r="D28" s="27"/>
      <c r="E28" s="27"/>
      <c r="F28" s="27">
        <v>5454</v>
      </c>
      <c r="G28" s="32"/>
      <c r="H28" s="33"/>
    </row>
    <row r="29" spans="2:14" x14ac:dyDescent="0.25">
      <c r="B29" s="30"/>
      <c r="C29" s="26" t="s">
        <v>23</v>
      </c>
      <c r="D29" s="27"/>
      <c r="E29" s="27"/>
      <c r="F29" s="27">
        <v>5454</v>
      </c>
      <c r="G29" s="32"/>
      <c r="H29" s="42" t="s">
        <v>22</v>
      </c>
    </row>
    <row r="30" spans="2:14" x14ac:dyDescent="0.25">
      <c r="B30" s="34"/>
      <c r="C30" s="31"/>
      <c r="D30" s="32">
        <f>SUM(D27:D29)</f>
        <v>0</v>
      </c>
      <c r="E30" s="32">
        <f>SUM(E27:E29)</f>
        <v>0</v>
      </c>
      <c r="F30" s="32">
        <f>SUM(F27:F29)</f>
        <v>16362</v>
      </c>
      <c r="G30" s="32"/>
      <c r="H30" s="33">
        <f>SUM(D30:G30)</f>
        <v>16362</v>
      </c>
    </row>
    <row r="31" spans="2:14" x14ac:dyDescent="0.25">
      <c r="B31" s="30"/>
      <c r="C31" s="35"/>
      <c r="D31" s="35"/>
      <c r="E31" s="35"/>
      <c r="F31" s="35"/>
      <c r="G31" s="35"/>
      <c r="H31" s="36"/>
    </row>
    <row r="32" spans="2:14" x14ac:dyDescent="0.25">
      <c r="B32" s="47"/>
      <c r="C32" s="38" t="s">
        <v>21</v>
      </c>
      <c r="D32" s="39">
        <f>D30/H30</f>
        <v>0</v>
      </c>
      <c r="E32" s="39">
        <f>E30/H30</f>
        <v>0</v>
      </c>
      <c r="F32" s="39">
        <f>F30/H30</f>
        <v>1</v>
      </c>
      <c r="G32" s="40"/>
      <c r="H32" s="41"/>
    </row>
    <row r="34" spans="2:12" x14ac:dyDescent="0.25">
      <c r="B34" s="44" t="s">
        <v>14</v>
      </c>
      <c r="C34" s="45"/>
      <c r="D34" s="45"/>
      <c r="E34" s="45"/>
      <c r="F34" s="45"/>
      <c r="G34" s="45"/>
      <c r="H34" s="46"/>
      <c r="L34" s="3"/>
    </row>
    <row r="35" spans="2:12" x14ac:dyDescent="0.25">
      <c r="B35" s="66" t="s">
        <v>36</v>
      </c>
      <c r="C35" s="29" t="s">
        <v>15</v>
      </c>
      <c r="D35" s="29" t="s">
        <v>16</v>
      </c>
      <c r="E35" s="29" t="s">
        <v>17</v>
      </c>
      <c r="F35" s="29" t="s">
        <v>18</v>
      </c>
      <c r="G35" s="31"/>
      <c r="H35" s="43"/>
      <c r="L35" s="3"/>
    </row>
    <row r="36" spans="2:12" x14ac:dyDescent="0.25">
      <c r="B36" s="66"/>
      <c r="C36" s="26" t="s">
        <v>19</v>
      </c>
      <c r="D36" s="27"/>
      <c r="E36" s="27"/>
      <c r="F36" s="27">
        <v>4041</v>
      </c>
      <c r="G36" s="32"/>
      <c r="H36" s="33"/>
    </row>
    <row r="37" spans="2:12" x14ac:dyDescent="0.25">
      <c r="B37" s="30"/>
      <c r="C37" s="26" t="s">
        <v>20</v>
      </c>
      <c r="D37" s="27"/>
      <c r="E37" s="27"/>
      <c r="F37" s="27">
        <v>4041</v>
      </c>
      <c r="G37" s="32"/>
      <c r="H37" s="42" t="s">
        <v>22</v>
      </c>
    </row>
    <row r="38" spans="2:12" x14ac:dyDescent="0.25">
      <c r="B38" s="30"/>
      <c r="C38" s="31"/>
      <c r="D38" s="32">
        <f>SUM(D36:D37)</f>
        <v>0</v>
      </c>
      <c r="E38" s="32">
        <f>SUM(E36:E36)</f>
        <v>0</v>
      </c>
      <c r="F38" s="32">
        <f>SUM(F36:F37)</f>
        <v>8082</v>
      </c>
      <c r="G38" s="32"/>
      <c r="H38" s="33">
        <f>SUM(D38:G38)</f>
        <v>8082</v>
      </c>
    </row>
    <row r="39" spans="2:12" x14ac:dyDescent="0.25">
      <c r="B39" s="34"/>
      <c r="C39" s="35"/>
      <c r="D39" s="35"/>
      <c r="E39" s="35"/>
      <c r="F39" s="35"/>
      <c r="G39" s="35"/>
      <c r="H39" s="36"/>
    </row>
    <row r="40" spans="2:12" x14ac:dyDescent="0.25">
      <c r="B40" s="37"/>
      <c r="C40" s="38" t="s">
        <v>21</v>
      </c>
      <c r="D40" s="39">
        <f>D38/H38</f>
        <v>0</v>
      </c>
      <c r="E40" s="39">
        <f>E38/H38</f>
        <v>0</v>
      </c>
      <c r="F40" s="39">
        <f>F38/H38</f>
        <v>1</v>
      </c>
      <c r="G40" s="40"/>
      <c r="H40" s="41"/>
    </row>
    <row r="42" spans="2:12" x14ac:dyDescent="0.25">
      <c r="B42" s="44" t="s">
        <v>14</v>
      </c>
      <c r="C42" s="45"/>
      <c r="D42" s="45"/>
      <c r="E42" s="45"/>
      <c r="F42" s="45"/>
      <c r="G42" s="45"/>
      <c r="H42" s="46"/>
      <c r="L42" s="3"/>
    </row>
    <row r="43" spans="2:12" x14ac:dyDescent="0.25">
      <c r="B43" s="66" t="s">
        <v>37</v>
      </c>
      <c r="C43" s="29" t="s">
        <v>15</v>
      </c>
      <c r="D43" s="29" t="s">
        <v>16</v>
      </c>
      <c r="E43" s="29" t="s">
        <v>17</v>
      </c>
      <c r="F43" s="29" t="s">
        <v>18</v>
      </c>
      <c r="G43" s="31"/>
      <c r="H43" s="43"/>
      <c r="L43" s="3"/>
    </row>
    <row r="44" spans="2:12" x14ac:dyDescent="0.25">
      <c r="B44" s="66"/>
      <c r="C44" s="26" t="s">
        <v>19</v>
      </c>
      <c r="D44" s="27"/>
      <c r="E44" s="27"/>
      <c r="F44" s="27">
        <v>5454</v>
      </c>
      <c r="G44" s="32"/>
      <c r="H44" s="33"/>
    </row>
    <row r="45" spans="2:12" x14ac:dyDescent="0.25">
      <c r="B45" s="30"/>
      <c r="C45" s="26" t="s">
        <v>20</v>
      </c>
      <c r="D45" s="27"/>
      <c r="E45" s="27"/>
      <c r="F45" s="27">
        <v>5454</v>
      </c>
      <c r="G45" s="32"/>
      <c r="H45" s="42" t="s">
        <v>22</v>
      </c>
    </row>
    <row r="46" spans="2:12" x14ac:dyDescent="0.25">
      <c r="B46" s="30"/>
      <c r="C46" s="31"/>
      <c r="D46" s="32">
        <f>SUM(D44:D45)</f>
        <v>0</v>
      </c>
      <c r="E46" s="32">
        <f>SUM(E44:E44)</f>
        <v>0</v>
      </c>
      <c r="F46" s="32">
        <f>SUM(F44:F45)</f>
        <v>10908</v>
      </c>
      <c r="G46" s="32"/>
      <c r="H46" s="33">
        <f>SUM(D46:G46)</f>
        <v>10908</v>
      </c>
    </row>
    <row r="47" spans="2:12" x14ac:dyDescent="0.25">
      <c r="B47" s="34"/>
      <c r="C47" s="35"/>
      <c r="D47" s="35"/>
      <c r="E47" s="35"/>
      <c r="F47" s="35"/>
      <c r="G47" s="35"/>
      <c r="H47" s="36"/>
    </row>
    <row r="48" spans="2:12" x14ac:dyDescent="0.25">
      <c r="B48" s="37"/>
      <c r="C48" s="38" t="s">
        <v>21</v>
      </c>
      <c r="D48" s="39">
        <f>D46/H46</f>
        <v>0</v>
      </c>
      <c r="E48" s="39">
        <f>E46/H46</f>
        <v>0</v>
      </c>
      <c r="F48" s="39">
        <f>F46/H46</f>
        <v>1</v>
      </c>
      <c r="G48" s="40"/>
      <c r="H48" s="41"/>
    </row>
  </sheetData>
  <mergeCells count="8">
    <mergeCell ref="B35:B36"/>
    <mergeCell ref="B43:B44"/>
    <mergeCell ref="B17:B18"/>
    <mergeCell ref="L17:M17"/>
    <mergeCell ref="L18:M18"/>
    <mergeCell ref="L20:M20"/>
    <mergeCell ref="L21:M21"/>
    <mergeCell ref="B26:B27"/>
  </mergeCells>
  <pageMargins left="0.75" right="0.75" top="1" bottom="1" header="0.5" footer="0.5"/>
  <pageSetup scale="60" fitToHeight="0" orientation="landscape" r:id="rId1"/>
  <headerFooter alignWithMargins="0">
    <oddHeader>&amp;LKingston Bay View Estates Association of Apartment Owners&amp;C&amp;"-,Bold"&amp;14 2024 Statement of Values&amp;R&amp;"-,Regular"&amp;11The Partners Group, LLC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6C77-CDDC-4739-891F-E7819A82E3B9}">
  <sheetPr>
    <tabColor rgb="FF0070C0"/>
    <pageSetUpPr fitToPage="1"/>
  </sheetPr>
  <dimension ref="A1:R48"/>
  <sheetViews>
    <sheetView view="pageLayout" zoomScale="85" zoomScaleNormal="160" zoomScalePageLayoutView="85" workbookViewId="0">
      <selection activeCell="N13" sqref="N13:N18"/>
    </sheetView>
  </sheetViews>
  <sheetFormatPr defaultRowHeight="15" x14ac:dyDescent="0.25"/>
  <cols>
    <col min="1" max="1" width="11.7109375" style="3" customWidth="1"/>
    <col min="2" max="2" width="13.5703125" style="3" customWidth="1"/>
    <col min="3" max="3" width="25.28515625" style="3" customWidth="1"/>
    <col min="4" max="4" width="12.5703125" style="3" customWidth="1"/>
    <col min="5" max="5" width="12.28515625" style="3" customWidth="1"/>
    <col min="6" max="6" width="11.5703125" style="3" customWidth="1"/>
    <col min="7" max="7" width="9.5703125" style="3" customWidth="1"/>
    <col min="8" max="10" width="11.7109375" style="3" customWidth="1"/>
    <col min="11" max="11" width="12.28515625" style="3" customWidth="1"/>
    <col min="12" max="12" width="11.28515625" style="17" customWidth="1"/>
    <col min="13" max="13" width="14.5703125" style="3" customWidth="1"/>
    <col min="14" max="14" width="16.140625" style="3" customWidth="1"/>
    <col min="15" max="16" width="10.140625" style="3" customWidth="1"/>
    <col min="17" max="17" width="19" style="3" customWidth="1"/>
    <col min="18" max="18" width="10.28515625" style="3" customWidth="1"/>
    <col min="19" max="19" width="13" style="3" bestFit="1" customWidth="1"/>
    <col min="20" max="16384" width="9.140625" style="3"/>
  </cols>
  <sheetData>
    <row r="1" spans="1:18" ht="45" x14ac:dyDescent="0.25">
      <c r="A1" s="1" t="s">
        <v>0</v>
      </c>
      <c r="B1" s="1" t="s">
        <v>0</v>
      </c>
      <c r="C1" s="1" t="s">
        <v>4</v>
      </c>
      <c r="D1" s="1" t="s">
        <v>13</v>
      </c>
      <c r="E1" s="1" t="s">
        <v>12</v>
      </c>
      <c r="F1" s="1" t="s">
        <v>5</v>
      </c>
      <c r="G1" s="1" t="s">
        <v>6</v>
      </c>
      <c r="H1" s="1" t="s">
        <v>26</v>
      </c>
      <c r="I1" s="1" t="s">
        <v>27</v>
      </c>
      <c r="J1" s="1" t="s">
        <v>28</v>
      </c>
      <c r="K1" s="1" t="s">
        <v>10</v>
      </c>
      <c r="L1" s="1" t="s">
        <v>7</v>
      </c>
      <c r="M1" s="1" t="s">
        <v>11</v>
      </c>
      <c r="N1" s="2" t="s">
        <v>8</v>
      </c>
      <c r="O1" s="2" t="s">
        <v>24</v>
      </c>
      <c r="P1" s="2" t="s">
        <v>9</v>
      </c>
      <c r="Q1" s="2" t="s">
        <v>58</v>
      </c>
    </row>
    <row r="2" spans="1:18" ht="12.75" customHeight="1" x14ac:dyDescent="0.25">
      <c r="A2" s="4">
        <v>1</v>
      </c>
      <c r="B2" s="4" t="s">
        <v>51</v>
      </c>
      <c r="C2" s="4" t="s">
        <v>29</v>
      </c>
      <c r="D2" s="4" t="s">
        <v>56</v>
      </c>
      <c r="E2" s="4">
        <v>1980</v>
      </c>
      <c r="F2" s="4">
        <v>3</v>
      </c>
      <c r="G2" s="4">
        <v>36</v>
      </c>
      <c r="H2" s="5">
        <f>H21</f>
        <v>32778</v>
      </c>
      <c r="I2" s="5">
        <v>0</v>
      </c>
      <c r="J2" s="5">
        <f>SUM(H2:I2)</f>
        <v>32778</v>
      </c>
      <c r="K2" s="5" t="s">
        <v>32</v>
      </c>
      <c r="L2" s="25">
        <f t="shared" ref="L2:L5" si="0">M2/J2</f>
        <v>237.26189637457801</v>
      </c>
      <c r="M2" s="25">
        <v>7776970.4393659178</v>
      </c>
      <c r="N2" s="6">
        <f>256.756756756757*G2*12</f>
        <v>110918.91891891902</v>
      </c>
      <c r="O2" s="6">
        <v>0</v>
      </c>
      <c r="P2" s="6" t="s">
        <v>33</v>
      </c>
      <c r="Q2" s="21"/>
    </row>
    <row r="3" spans="1:18" ht="12.75" customHeight="1" x14ac:dyDescent="0.25">
      <c r="A3" s="4">
        <v>2</v>
      </c>
      <c r="B3" s="4" t="s">
        <v>52</v>
      </c>
      <c r="C3" s="4" t="s">
        <v>40</v>
      </c>
      <c r="D3" s="4" t="s">
        <v>56</v>
      </c>
      <c r="E3" s="4">
        <v>1980</v>
      </c>
      <c r="F3" s="4">
        <v>3</v>
      </c>
      <c r="G3" s="4">
        <v>18</v>
      </c>
      <c r="H3" s="5">
        <f>H30</f>
        <v>16362</v>
      </c>
      <c r="I3" s="5">
        <v>0</v>
      </c>
      <c r="J3" s="5">
        <f>SUM(H3:I3)</f>
        <v>16362</v>
      </c>
      <c r="K3" s="5" t="s">
        <v>32</v>
      </c>
      <c r="L3" s="25">
        <f t="shared" si="0"/>
        <v>237.26189637457801</v>
      </c>
      <c r="M3" s="25">
        <v>3882079.1484808456</v>
      </c>
      <c r="N3" s="6">
        <f>256.756756756757*G3*12</f>
        <v>55459.459459459511</v>
      </c>
      <c r="O3" s="6">
        <v>0</v>
      </c>
      <c r="P3" s="6" t="s">
        <v>33</v>
      </c>
      <c r="Q3" s="21"/>
      <c r="R3" s="49"/>
    </row>
    <row r="4" spans="1:18" ht="12.75" customHeight="1" x14ac:dyDescent="0.25">
      <c r="A4" s="4">
        <v>3</v>
      </c>
      <c r="B4" s="4" t="s">
        <v>53</v>
      </c>
      <c r="C4" s="4" t="s">
        <v>41</v>
      </c>
      <c r="D4" s="4" t="s">
        <v>56</v>
      </c>
      <c r="E4" s="4">
        <v>1980</v>
      </c>
      <c r="F4" s="4">
        <v>2</v>
      </c>
      <c r="G4" s="4">
        <v>8</v>
      </c>
      <c r="H4" s="5">
        <f>H38</f>
        <v>8082</v>
      </c>
      <c r="I4" s="5">
        <v>0</v>
      </c>
      <c r="J4" s="5">
        <f>SUM(H4:I4)</f>
        <v>8082</v>
      </c>
      <c r="K4" s="5" t="s">
        <v>32</v>
      </c>
      <c r="L4" s="25">
        <f t="shared" si="0"/>
        <v>237.26189637457801</v>
      </c>
      <c r="M4" s="25">
        <v>1917550.6464993395</v>
      </c>
      <c r="N4" s="6">
        <f>256.756756756757*G4*12</f>
        <v>24648.648648648672</v>
      </c>
      <c r="O4" s="6">
        <v>0</v>
      </c>
      <c r="P4" s="6" t="s">
        <v>33</v>
      </c>
      <c r="Q4" s="21"/>
      <c r="R4" s="49"/>
    </row>
    <row r="5" spans="1:18" ht="12.75" customHeight="1" x14ac:dyDescent="0.25">
      <c r="A5" s="4">
        <v>4</v>
      </c>
      <c r="B5" s="4" t="s">
        <v>54</v>
      </c>
      <c r="C5" s="4" t="s">
        <v>42</v>
      </c>
      <c r="D5" s="4" t="s">
        <v>56</v>
      </c>
      <c r="E5" s="4">
        <v>1980</v>
      </c>
      <c r="F5" s="4">
        <v>2</v>
      </c>
      <c r="G5" s="4">
        <v>12</v>
      </c>
      <c r="H5" s="5">
        <f>H46</f>
        <v>10908</v>
      </c>
      <c r="I5" s="5">
        <v>0</v>
      </c>
      <c r="J5" s="5">
        <f>SUM(H5:I5)</f>
        <v>10908</v>
      </c>
      <c r="K5" s="5" t="s">
        <v>32</v>
      </c>
      <c r="L5" s="25">
        <f t="shared" si="0"/>
        <v>237.26189637457801</v>
      </c>
      <c r="M5" s="25">
        <v>2588052.7656538971</v>
      </c>
      <c r="N5" s="6">
        <f>256.756756756757*G5*12</f>
        <v>36972.97297297301</v>
      </c>
      <c r="O5" s="6">
        <v>0</v>
      </c>
      <c r="P5" s="6" t="s">
        <v>33</v>
      </c>
      <c r="Q5" s="21"/>
    </row>
    <row r="6" spans="1:18" ht="12.75" customHeight="1" x14ac:dyDescent="0.25">
      <c r="A6" s="4" t="s">
        <v>38</v>
      </c>
      <c r="B6" s="4" t="s">
        <v>55</v>
      </c>
      <c r="C6" s="4" t="s">
        <v>29</v>
      </c>
      <c r="D6" s="4" t="s">
        <v>56</v>
      </c>
      <c r="E6" s="4">
        <v>1980</v>
      </c>
      <c r="F6" s="4">
        <v>1</v>
      </c>
      <c r="G6" s="4">
        <v>0</v>
      </c>
      <c r="H6" s="5" t="s">
        <v>32</v>
      </c>
      <c r="I6" s="5">
        <f>1659+2292+1799+1582+1769+883+332+332+332+332</f>
        <v>11312</v>
      </c>
      <c r="J6" s="5">
        <f>SUM(H6:I6)</f>
        <v>11312</v>
      </c>
      <c r="K6" s="5" t="s">
        <v>32</v>
      </c>
      <c r="L6" s="25">
        <f>M6/J6</f>
        <v>56.254154879773694</v>
      </c>
      <c r="M6" s="25">
        <v>636347</v>
      </c>
      <c r="N6" s="6">
        <v>0</v>
      </c>
      <c r="O6" s="6">
        <v>0</v>
      </c>
      <c r="P6" s="6" t="s">
        <v>33</v>
      </c>
      <c r="Q6" s="21"/>
    </row>
    <row r="7" spans="1:18" ht="12.75" customHeight="1" x14ac:dyDescent="0.25">
      <c r="B7" s="8"/>
      <c r="D7" s="9"/>
      <c r="E7" s="8"/>
      <c r="F7" s="7"/>
      <c r="G7" s="7"/>
      <c r="H7" s="7"/>
      <c r="I7" s="10"/>
      <c r="J7" s="10"/>
      <c r="K7" s="11"/>
      <c r="L7" s="12"/>
      <c r="N7" s="18"/>
      <c r="O7" s="18"/>
      <c r="P7" s="18"/>
    </row>
    <row r="8" spans="1:18" x14ac:dyDescent="0.25">
      <c r="C8" s="48" t="s">
        <v>30</v>
      </c>
      <c r="G8" s="13">
        <f>SUM(G2:G6)</f>
        <v>74</v>
      </c>
      <c r="H8" s="14">
        <f>SUM(H2:H6)</f>
        <v>68130</v>
      </c>
      <c r="I8" s="14">
        <f>SUM(I2:I6)</f>
        <v>11312</v>
      </c>
      <c r="J8" s="14">
        <f>SUM(J2:J6)</f>
        <v>79442</v>
      </c>
      <c r="K8" s="14"/>
      <c r="L8" s="49"/>
      <c r="M8" s="15">
        <f>SUM(M2:M6)</f>
        <v>16801000</v>
      </c>
      <c r="N8" s="16">
        <f>SUM(N2:N6)</f>
        <v>228000.0000000002</v>
      </c>
      <c r="O8" s="16">
        <f>SUM(O2:O6)</f>
        <v>0</v>
      </c>
      <c r="P8" s="16"/>
      <c r="Q8" s="63">
        <v>200000</v>
      </c>
    </row>
    <row r="9" spans="1:18" x14ac:dyDescent="0.25">
      <c r="C9" s="48"/>
      <c r="E9" s="28"/>
      <c r="F9" s="28" t="s">
        <v>57</v>
      </c>
      <c r="G9" s="13">
        <v>29</v>
      </c>
      <c r="H9" s="8"/>
      <c r="I9" s="14"/>
      <c r="J9" s="14"/>
      <c r="K9" s="14"/>
      <c r="L9" s="49"/>
      <c r="M9" s="15"/>
      <c r="N9" s="16"/>
      <c r="O9" s="16"/>
      <c r="P9" s="16"/>
    </row>
    <row r="10" spans="1:18" x14ac:dyDescent="0.25">
      <c r="E10" s="28"/>
      <c r="F10" s="28" t="s">
        <v>49</v>
      </c>
      <c r="G10" s="64">
        <v>0.39</v>
      </c>
      <c r="J10" s="61"/>
      <c r="K10" s="61"/>
      <c r="L10" s="62"/>
      <c r="M10" s="63"/>
    </row>
    <row r="11" spans="1:18" x14ac:dyDescent="0.25">
      <c r="E11" s="20"/>
    </row>
    <row r="12" spans="1:18" x14ac:dyDescent="0.25">
      <c r="E12" s="20"/>
      <c r="J12"/>
      <c r="K12" s="58"/>
      <c r="L12" s="59"/>
      <c r="M12"/>
      <c r="N12"/>
    </row>
    <row r="13" spans="1:18" x14ac:dyDescent="0.25">
      <c r="H13" s="18"/>
      <c r="J13"/>
      <c r="N13" s="49"/>
    </row>
    <row r="14" spans="1:18" x14ac:dyDescent="0.25">
      <c r="H14"/>
      <c r="I14"/>
      <c r="J14"/>
      <c r="K14" s="57"/>
      <c r="L14" s="59"/>
      <c r="M14"/>
      <c r="N14" s="51"/>
      <c r="O14" s="24"/>
      <c r="P14" s="24"/>
    </row>
    <row r="15" spans="1:18" x14ac:dyDescent="0.25">
      <c r="B15" s="8"/>
      <c r="C15" s="17"/>
      <c r="J15"/>
      <c r="K15"/>
      <c r="L15" s="59"/>
      <c r="M15" s="51"/>
      <c r="N15" s="53"/>
    </row>
    <row r="16" spans="1:18" x14ac:dyDescent="0.25">
      <c r="B16" s="44" t="s">
        <v>14</v>
      </c>
      <c r="C16" s="45"/>
      <c r="D16" s="45"/>
      <c r="E16" s="45"/>
      <c r="F16" s="45"/>
      <c r="G16" s="45"/>
      <c r="H16" s="46"/>
      <c r="J16"/>
      <c r="K16"/>
      <c r="L16" s="60"/>
      <c r="M16"/>
      <c r="N16" s="53"/>
    </row>
    <row r="17" spans="2:14" x14ac:dyDescent="0.25">
      <c r="B17" s="66" t="s">
        <v>34</v>
      </c>
      <c r="C17" s="29" t="s">
        <v>15</v>
      </c>
      <c r="D17" s="29" t="s">
        <v>16</v>
      </c>
      <c r="E17" s="29" t="s">
        <v>17</v>
      </c>
      <c r="F17" s="29" t="s">
        <v>18</v>
      </c>
      <c r="G17" s="31"/>
      <c r="H17" s="43"/>
      <c r="K17" s="28" t="s">
        <v>1</v>
      </c>
      <c r="L17" s="67"/>
      <c r="M17" s="67"/>
      <c r="N17" s="53"/>
    </row>
    <row r="18" spans="2:14" x14ac:dyDescent="0.25">
      <c r="B18" s="66"/>
      <c r="C18" s="26" t="s">
        <v>19</v>
      </c>
      <c r="D18" s="27"/>
      <c r="E18" s="27"/>
      <c r="F18" s="27">
        <v>10926</v>
      </c>
      <c r="G18" s="32"/>
      <c r="H18" s="33"/>
      <c r="L18" s="68" t="s">
        <v>3</v>
      </c>
      <c r="M18" s="68"/>
      <c r="N18" s="53"/>
    </row>
    <row r="19" spans="2:14" x14ac:dyDescent="0.25">
      <c r="B19" s="30"/>
      <c r="C19" s="26" t="s">
        <v>20</v>
      </c>
      <c r="D19" s="27"/>
      <c r="E19" s="27"/>
      <c r="F19" s="27">
        <v>10926</v>
      </c>
      <c r="G19" s="32"/>
      <c r="H19" s="33"/>
      <c r="L19" s="20"/>
      <c r="M19" s="20"/>
      <c r="N19" s="53"/>
    </row>
    <row r="20" spans="2:14" x14ac:dyDescent="0.25">
      <c r="B20" s="30"/>
      <c r="C20" s="26" t="s">
        <v>23</v>
      </c>
      <c r="D20" s="27"/>
      <c r="E20" s="27"/>
      <c r="F20" s="27">
        <v>10926</v>
      </c>
      <c r="G20" s="32"/>
      <c r="H20" s="42" t="s">
        <v>22</v>
      </c>
      <c r="K20" s="28" t="s">
        <v>2</v>
      </c>
      <c r="L20" s="69"/>
      <c r="M20" s="69"/>
      <c r="N20" s="53"/>
    </row>
    <row r="21" spans="2:14" x14ac:dyDescent="0.25">
      <c r="B21" s="34"/>
      <c r="C21" s="31"/>
      <c r="D21" s="32">
        <f>SUM(D18:D20)</f>
        <v>0</v>
      </c>
      <c r="E21" s="32">
        <f>SUM(E18:E20)</f>
        <v>0</v>
      </c>
      <c r="F21" s="32">
        <f>SUM(F18:F20)</f>
        <v>32778</v>
      </c>
      <c r="G21" s="32"/>
      <c r="H21" s="33">
        <f>SUM(D21:G21)</f>
        <v>32778</v>
      </c>
      <c r="L21" s="68" t="s">
        <v>25</v>
      </c>
      <c r="M21" s="68"/>
    </row>
    <row r="22" spans="2:14" x14ac:dyDescent="0.25">
      <c r="B22" s="30"/>
      <c r="C22" s="35"/>
      <c r="D22" s="35"/>
      <c r="E22" s="35"/>
      <c r="F22" s="35"/>
      <c r="G22" s="35"/>
      <c r="H22" s="36"/>
    </row>
    <row r="23" spans="2:14" x14ac:dyDescent="0.25">
      <c r="B23" s="47"/>
      <c r="C23" s="38" t="s">
        <v>21</v>
      </c>
      <c r="D23" s="39">
        <f>D21/H21</f>
        <v>0</v>
      </c>
      <c r="E23" s="39">
        <f>E21/H21</f>
        <v>0</v>
      </c>
      <c r="F23" s="39">
        <f>F21/H21</f>
        <v>1</v>
      </c>
      <c r="G23" s="40"/>
      <c r="H23" s="41"/>
    </row>
    <row r="25" spans="2:14" x14ac:dyDescent="0.25">
      <c r="B25" s="44" t="s">
        <v>14</v>
      </c>
      <c r="C25" s="45"/>
      <c r="D25" s="45"/>
      <c r="E25" s="45"/>
      <c r="F25" s="45"/>
      <c r="G25" s="45"/>
      <c r="H25" s="46"/>
    </row>
    <row r="26" spans="2:14" x14ac:dyDescent="0.25">
      <c r="B26" s="66" t="s">
        <v>35</v>
      </c>
      <c r="C26" s="29" t="s">
        <v>15</v>
      </c>
      <c r="D26" s="29" t="s">
        <v>16</v>
      </c>
      <c r="E26" s="29" t="s">
        <v>17</v>
      </c>
      <c r="F26" s="29" t="s">
        <v>18</v>
      </c>
      <c r="G26" s="31"/>
      <c r="H26" s="43"/>
    </row>
    <row r="27" spans="2:14" x14ac:dyDescent="0.25">
      <c r="B27" s="66"/>
      <c r="C27" s="26" t="s">
        <v>19</v>
      </c>
      <c r="D27" s="27"/>
      <c r="E27" s="27"/>
      <c r="F27" s="27">
        <v>5454</v>
      </c>
      <c r="G27" s="32"/>
      <c r="H27" s="33"/>
    </row>
    <row r="28" spans="2:14" x14ac:dyDescent="0.25">
      <c r="B28" s="30"/>
      <c r="C28" s="26" t="s">
        <v>20</v>
      </c>
      <c r="D28" s="27"/>
      <c r="E28" s="27"/>
      <c r="F28" s="27">
        <v>5454</v>
      </c>
      <c r="G28" s="32"/>
      <c r="H28" s="33"/>
    </row>
    <row r="29" spans="2:14" x14ac:dyDescent="0.25">
      <c r="B29" s="30"/>
      <c r="C29" s="26" t="s">
        <v>23</v>
      </c>
      <c r="D29" s="27"/>
      <c r="E29" s="27"/>
      <c r="F29" s="27">
        <v>5454</v>
      </c>
      <c r="G29" s="32"/>
      <c r="H29" s="42" t="s">
        <v>22</v>
      </c>
    </row>
    <row r="30" spans="2:14" x14ac:dyDescent="0.25">
      <c r="B30" s="34"/>
      <c r="C30" s="31"/>
      <c r="D30" s="32">
        <f>SUM(D27:D29)</f>
        <v>0</v>
      </c>
      <c r="E30" s="32">
        <f>SUM(E27:E29)</f>
        <v>0</v>
      </c>
      <c r="F30" s="32">
        <f>SUM(F27:F29)</f>
        <v>16362</v>
      </c>
      <c r="G30" s="32"/>
      <c r="H30" s="33">
        <f>SUM(D30:G30)</f>
        <v>16362</v>
      </c>
    </row>
    <row r="31" spans="2:14" x14ac:dyDescent="0.25">
      <c r="B31" s="30"/>
      <c r="C31" s="35"/>
      <c r="D31" s="35"/>
      <c r="E31" s="35"/>
      <c r="F31" s="35"/>
      <c r="G31" s="35"/>
      <c r="H31" s="36"/>
    </row>
    <row r="32" spans="2:14" x14ac:dyDescent="0.25">
      <c r="B32" s="47"/>
      <c r="C32" s="38" t="s">
        <v>21</v>
      </c>
      <c r="D32" s="39">
        <f>D30/H30</f>
        <v>0</v>
      </c>
      <c r="E32" s="39">
        <f>E30/H30</f>
        <v>0</v>
      </c>
      <c r="F32" s="39">
        <f>F30/H30</f>
        <v>1</v>
      </c>
      <c r="G32" s="40"/>
      <c r="H32" s="41"/>
    </row>
    <row r="34" spans="2:12" x14ac:dyDescent="0.25">
      <c r="B34" s="44" t="s">
        <v>14</v>
      </c>
      <c r="C34" s="45"/>
      <c r="D34" s="45"/>
      <c r="E34" s="45"/>
      <c r="F34" s="45"/>
      <c r="G34" s="45"/>
      <c r="H34" s="46"/>
      <c r="L34" s="3"/>
    </row>
    <row r="35" spans="2:12" x14ac:dyDescent="0.25">
      <c r="B35" s="66" t="s">
        <v>36</v>
      </c>
      <c r="C35" s="29" t="s">
        <v>15</v>
      </c>
      <c r="D35" s="29" t="s">
        <v>16</v>
      </c>
      <c r="E35" s="29" t="s">
        <v>17</v>
      </c>
      <c r="F35" s="29" t="s">
        <v>18</v>
      </c>
      <c r="G35" s="31"/>
      <c r="H35" s="43"/>
      <c r="L35" s="3"/>
    </row>
    <row r="36" spans="2:12" x14ac:dyDescent="0.25">
      <c r="B36" s="66"/>
      <c r="C36" s="26" t="s">
        <v>19</v>
      </c>
      <c r="D36" s="27"/>
      <c r="E36" s="27"/>
      <c r="F36" s="27">
        <v>4041</v>
      </c>
      <c r="G36" s="32"/>
      <c r="H36" s="33"/>
    </row>
    <row r="37" spans="2:12" x14ac:dyDescent="0.25">
      <c r="B37" s="30"/>
      <c r="C37" s="26" t="s">
        <v>20</v>
      </c>
      <c r="D37" s="27"/>
      <c r="E37" s="27"/>
      <c r="F37" s="27">
        <v>4041</v>
      </c>
      <c r="G37" s="32"/>
      <c r="H37" s="42" t="s">
        <v>22</v>
      </c>
    </row>
    <row r="38" spans="2:12" x14ac:dyDescent="0.25">
      <c r="B38" s="30"/>
      <c r="C38" s="31"/>
      <c r="D38" s="32">
        <f>SUM(D36:D37)</f>
        <v>0</v>
      </c>
      <c r="E38" s="32">
        <f>SUM(E36:E36)</f>
        <v>0</v>
      </c>
      <c r="F38" s="32">
        <f>SUM(F36:F37)</f>
        <v>8082</v>
      </c>
      <c r="G38" s="32"/>
      <c r="H38" s="33">
        <f>SUM(D38:G38)</f>
        <v>8082</v>
      </c>
    </row>
    <row r="39" spans="2:12" x14ac:dyDescent="0.25">
      <c r="B39" s="34"/>
      <c r="C39" s="35"/>
      <c r="D39" s="35"/>
      <c r="E39" s="35"/>
      <c r="F39" s="35"/>
      <c r="G39" s="35"/>
      <c r="H39" s="36"/>
    </row>
    <row r="40" spans="2:12" x14ac:dyDescent="0.25">
      <c r="B40" s="37"/>
      <c r="C40" s="38" t="s">
        <v>21</v>
      </c>
      <c r="D40" s="39">
        <f>D38/H38</f>
        <v>0</v>
      </c>
      <c r="E40" s="39">
        <f>E38/H38</f>
        <v>0</v>
      </c>
      <c r="F40" s="39">
        <f>F38/H38</f>
        <v>1</v>
      </c>
      <c r="G40" s="40"/>
      <c r="H40" s="41"/>
    </row>
    <row r="42" spans="2:12" x14ac:dyDescent="0.25">
      <c r="B42" s="44" t="s">
        <v>14</v>
      </c>
      <c r="C42" s="45"/>
      <c r="D42" s="45"/>
      <c r="E42" s="45"/>
      <c r="F42" s="45"/>
      <c r="G42" s="45"/>
      <c r="H42" s="46"/>
      <c r="L42" s="3"/>
    </row>
    <row r="43" spans="2:12" x14ac:dyDescent="0.25">
      <c r="B43" s="66" t="s">
        <v>37</v>
      </c>
      <c r="C43" s="29" t="s">
        <v>15</v>
      </c>
      <c r="D43" s="29" t="s">
        <v>16</v>
      </c>
      <c r="E43" s="29" t="s">
        <v>17</v>
      </c>
      <c r="F43" s="29" t="s">
        <v>18</v>
      </c>
      <c r="G43" s="31"/>
      <c r="H43" s="43"/>
      <c r="L43" s="3"/>
    </row>
    <row r="44" spans="2:12" x14ac:dyDescent="0.25">
      <c r="B44" s="66"/>
      <c r="C44" s="26" t="s">
        <v>19</v>
      </c>
      <c r="D44" s="27"/>
      <c r="E44" s="27"/>
      <c r="F44" s="27">
        <v>5454</v>
      </c>
      <c r="G44" s="32"/>
      <c r="H44" s="33"/>
    </row>
    <row r="45" spans="2:12" x14ac:dyDescent="0.25">
      <c r="B45" s="30"/>
      <c r="C45" s="26" t="s">
        <v>20</v>
      </c>
      <c r="D45" s="27"/>
      <c r="E45" s="27"/>
      <c r="F45" s="27">
        <v>5454</v>
      </c>
      <c r="G45" s="32"/>
      <c r="H45" s="42" t="s">
        <v>22</v>
      </c>
    </row>
    <row r="46" spans="2:12" x14ac:dyDescent="0.25">
      <c r="B46" s="30"/>
      <c r="C46" s="31"/>
      <c r="D46" s="32">
        <f>SUM(D44:D45)</f>
        <v>0</v>
      </c>
      <c r="E46" s="32">
        <f>SUM(E44:E44)</f>
        <v>0</v>
      </c>
      <c r="F46" s="32">
        <f>SUM(F44:F45)</f>
        <v>10908</v>
      </c>
      <c r="G46" s="32"/>
      <c r="H46" s="33">
        <f>SUM(D46:G46)</f>
        <v>10908</v>
      </c>
    </row>
    <row r="47" spans="2:12" x14ac:dyDescent="0.25">
      <c r="B47" s="34"/>
      <c r="C47" s="35"/>
      <c r="D47" s="35"/>
      <c r="E47" s="35"/>
      <c r="F47" s="35"/>
      <c r="G47" s="35"/>
      <c r="H47" s="36"/>
    </row>
    <row r="48" spans="2:12" x14ac:dyDescent="0.25">
      <c r="B48" s="37"/>
      <c r="C48" s="38" t="s">
        <v>21</v>
      </c>
      <c r="D48" s="39">
        <f>D46/H46</f>
        <v>0</v>
      </c>
      <c r="E48" s="39">
        <f>E46/H46</f>
        <v>0</v>
      </c>
      <c r="F48" s="39">
        <f>F46/H46</f>
        <v>1</v>
      </c>
      <c r="G48" s="40"/>
      <c r="H48" s="41"/>
    </row>
  </sheetData>
  <mergeCells count="8">
    <mergeCell ref="B26:B27"/>
    <mergeCell ref="B35:B36"/>
    <mergeCell ref="B43:B44"/>
    <mergeCell ref="L17:M17"/>
    <mergeCell ref="L18:M18"/>
    <mergeCell ref="L20:M20"/>
    <mergeCell ref="L21:M21"/>
    <mergeCell ref="B17:B18"/>
  </mergeCells>
  <pageMargins left="0.75" right="0.75" top="1" bottom="1" header="0.5" footer="0.5"/>
  <pageSetup scale="54" fitToHeight="0" orientation="landscape" r:id="rId1"/>
  <headerFooter alignWithMargins="0">
    <oddHeader>&amp;LKingston Bay View Estates Association of Apartment Owners&amp;C&amp;"-,Bold"&amp;14 2024 Statement of Values&amp;R&amp;"-,Regular"&amp;11The Partners Group, LLC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S47"/>
  <sheetViews>
    <sheetView view="pageLayout" topLeftCell="C1" zoomScale="85" zoomScaleNormal="160" zoomScalePageLayoutView="85" workbookViewId="0">
      <selection activeCell="O19" sqref="O19"/>
    </sheetView>
  </sheetViews>
  <sheetFormatPr defaultRowHeight="15" x14ac:dyDescent="0.25"/>
  <cols>
    <col min="1" max="1" width="13.5703125" style="3" customWidth="1"/>
    <col min="2" max="3" width="24.140625" style="3" customWidth="1"/>
    <col min="4" max="4" width="12.5703125" style="3" customWidth="1"/>
    <col min="5" max="5" width="12.28515625" style="3" customWidth="1"/>
    <col min="6" max="6" width="11.5703125" style="3" customWidth="1"/>
    <col min="7" max="7" width="9.5703125" style="3" customWidth="1"/>
    <col min="8" max="10" width="11.7109375" style="3" customWidth="1"/>
    <col min="11" max="11" width="12.28515625" style="3" customWidth="1"/>
    <col min="12" max="12" width="11.28515625" style="17" customWidth="1"/>
    <col min="13" max="13" width="14.5703125" style="3" customWidth="1"/>
    <col min="14" max="14" width="16.140625" style="3" customWidth="1"/>
    <col min="15" max="15" width="10.140625" style="3" customWidth="1"/>
    <col min="16" max="16" width="9.140625" style="3" customWidth="1"/>
    <col min="17" max="17" width="11.28515625" style="3" bestFit="1" customWidth="1"/>
    <col min="18" max="18" width="10.28515625" style="3" customWidth="1"/>
    <col min="19" max="19" width="13" style="3" bestFit="1" customWidth="1"/>
    <col min="20" max="16384" width="9.140625" style="3"/>
  </cols>
  <sheetData>
    <row r="1" spans="1:19" ht="30" x14ac:dyDescent="0.25">
      <c r="A1" s="1" t="s">
        <v>0</v>
      </c>
      <c r="B1" s="1" t="s">
        <v>4</v>
      </c>
      <c r="C1" s="1"/>
      <c r="D1" s="1" t="s">
        <v>13</v>
      </c>
      <c r="E1" s="1" t="s">
        <v>12</v>
      </c>
      <c r="F1" s="1" t="s">
        <v>5</v>
      </c>
      <c r="G1" s="1" t="s">
        <v>6</v>
      </c>
      <c r="H1" s="1" t="s">
        <v>26</v>
      </c>
      <c r="I1" s="1" t="s">
        <v>27</v>
      </c>
      <c r="J1" s="1" t="s">
        <v>28</v>
      </c>
      <c r="K1" s="1" t="s">
        <v>10</v>
      </c>
      <c r="L1" s="1" t="s">
        <v>7</v>
      </c>
      <c r="M1" s="52" t="s">
        <v>46</v>
      </c>
      <c r="N1" s="2" t="s">
        <v>8</v>
      </c>
      <c r="O1" s="2" t="s">
        <v>24</v>
      </c>
      <c r="P1" s="2" t="s">
        <v>9</v>
      </c>
      <c r="Q1" s="50"/>
      <c r="R1" s="50"/>
    </row>
    <row r="2" spans="1:19" ht="12.75" customHeight="1" x14ac:dyDescent="0.25">
      <c r="A2" s="4">
        <v>1</v>
      </c>
      <c r="B2" s="4" t="s">
        <v>29</v>
      </c>
      <c r="C2" s="4" t="s">
        <v>45</v>
      </c>
      <c r="D2" s="4" t="s">
        <v>31</v>
      </c>
      <c r="E2" s="4">
        <v>1980</v>
      </c>
      <c r="F2" s="4">
        <v>3</v>
      </c>
      <c r="G2" s="4">
        <v>36</v>
      </c>
      <c r="H2" s="5">
        <f>H20</f>
        <v>32778</v>
      </c>
      <c r="I2" s="5">
        <v>0</v>
      </c>
      <c r="J2" s="5">
        <f>SUM(H2:I2)</f>
        <v>32778</v>
      </c>
      <c r="K2" s="5" t="s">
        <v>32</v>
      </c>
      <c r="L2" s="25">
        <f>M2/J2</f>
        <v>210.50704740984807</v>
      </c>
      <c r="M2" s="25">
        <v>6900000</v>
      </c>
      <c r="N2" s="6">
        <f>256.756756756757*G2*12</f>
        <v>110918.91891891902</v>
      </c>
      <c r="O2" s="6">
        <v>0</v>
      </c>
      <c r="P2" s="21" t="s">
        <v>33</v>
      </c>
      <c r="Q2" s="22"/>
      <c r="R2" s="49"/>
    </row>
    <row r="3" spans="1:19" ht="12.75" customHeight="1" x14ac:dyDescent="0.25">
      <c r="A3" s="4">
        <v>2</v>
      </c>
      <c r="B3" s="4" t="s">
        <v>40</v>
      </c>
      <c r="C3" s="4" t="s">
        <v>39</v>
      </c>
      <c r="D3" s="4" t="s">
        <v>31</v>
      </c>
      <c r="E3" s="4">
        <v>1980</v>
      </c>
      <c r="F3" s="4">
        <v>3</v>
      </c>
      <c r="G3" s="4">
        <v>18</v>
      </c>
      <c r="H3" s="5">
        <f>H29</f>
        <v>16362</v>
      </c>
      <c r="I3" s="5">
        <v>0</v>
      </c>
      <c r="J3" s="5">
        <f>SUM(H3:I3)</f>
        <v>16362</v>
      </c>
      <c r="K3" s="5" t="s">
        <v>32</v>
      </c>
      <c r="L3" s="25">
        <f>M3/J3</f>
        <v>213.91027991688057</v>
      </c>
      <c r="M3" s="25">
        <v>3500000</v>
      </c>
      <c r="N3" s="6">
        <f>256.756756756757*G3*12</f>
        <v>55459.459459459511</v>
      </c>
      <c r="O3" s="6">
        <v>0</v>
      </c>
      <c r="P3" s="21" t="s">
        <v>33</v>
      </c>
      <c r="Q3" s="22"/>
      <c r="R3" s="49"/>
      <c r="S3" s="49"/>
    </row>
    <row r="4" spans="1:19" ht="12.75" customHeight="1" x14ac:dyDescent="0.25">
      <c r="A4" s="4">
        <v>3</v>
      </c>
      <c r="B4" s="4" t="s">
        <v>41</v>
      </c>
      <c r="C4" s="4" t="s">
        <v>43</v>
      </c>
      <c r="D4" s="4" t="s">
        <v>31</v>
      </c>
      <c r="E4" s="4">
        <v>1980</v>
      </c>
      <c r="F4" s="4">
        <v>2</v>
      </c>
      <c r="G4" s="4">
        <v>8</v>
      </c>
      <c r="H4" s="5">
        <f>H37</f>
        <v>8082</v>
      </c>
      <c r="I4" s="5">
        <v>0</v>
      </c>
      <c r="J4" s="5">
        <f>SUM(H4:I4)</f>
        <v>8082</v>
      </c>
      <c r="K4" s="5" t="s">
        <v>32</v>
      </c>
      <c r="L4" s="25">
        <f>M4/J4</f>
        <v>247.46349913387775</v>
      </c>
      <c r="M4" s="25">
        <v>2000000</v>
      </c>
      <c r="N4" s="6">
        <f>256.756756756757*G4*12</f>
        <v>24648.648648648672</v>
      </c>
      <c r="O4" s="6">
        <v>0</v>
      </c>
      <c r="P4" s="21" t="s">
        <v>33</v>
      </c>
      <c r="Q4" s="22"/>
      <c r="R4" s="49"/>
      <c r="S4" s="49"/>
    </row>
    <row r="5" spans="1:19" ht="12.75" customHeight="1" x14ac:dyDescent="0.25">
      <c r="A5" s="4">
        <v>4</v>
      </c>
      <c r="B5" s="4" t="s">
        <v>42</v>
      </c>
      <c r="C5" s="4" t="s">
        <v>44</v>
      </c>
      <c r="D5" s="4" t="s">
        <v>31</v>
      </c>
      <c r="E5" s="4">
        <v>1980</v>
      </c>
      <c r="F5" s="4">
        <v>3</v>
      </c>
      <c r="G5" s="4">
        <v>12</v>
      </c>
      <c r="H5" s="5">
        <f>H45</f>
        <v>10908</v>
      </c>
      <c r="I5" s="5">
        <v>0</v>
      </c>
      <c r="J5" s="5">
        <f>SUM(H5:I5)</f>
        <v>10908</v>
      </c>
      <c r="K5" s="5" t="s">
        <v>32</v>
      </c>
      <c r="L5" s="25">
        <f>M5/J5</f>
        <v>210.85441877521086</v>
      </c>
      <c r="M5" s="25">
        <v>2300000</v>
      </c>
      <c r="N5" s="6">
        <f>256.756756756757*G5*12</f>
        <v>36972.97297297301</v>
      </c>
      <c r="O5" s="6">
        <v>0</v>
      </c>
      <c r="P5" s="21" t="s">
        <v>33</v>
      </c>
      <c r="Q5" s="22"/>
      <c r="R5" s="49"/>
    </row>
    <row r="6" spans="1:19" ht="12.75" customHeight="1" x14ac:dyDescent="0.25">
      <c r="A6" s="4" t="s">
        <v>38</v>
      </c>
      <c r="B6" s="4" t="s">
        <v>29</v>
      </c>
      <c r="C6" s="4"/>
      <c r="D6" s="4" t="s">
        <v>31</v>
      </c>
      <c r="E6" s="4">
        <v>1980</v>
      </c>
      <c r="F6" s="4">
        <v>1</v>
      </c>
      <c r="G6" s="4">
        <v>0</v>
      </c>
      <c r="H6" s="5" t="s">
        <v>32</v>
      </c>
      <c r="I6" s="5">
        <f>1659+2292+1799+1582+1769+883+332+332+332+332</f>
        <v>11312</v>
      </c>
      <c r="J6" s="5">
        <f>SUM(H6:I6)</f>
        <v>11312</v>
      </c>
      <c r="K6" s="5" t="s">
        <v>32</v>
      </c>
      <c r="L6" s="25">
        <v>25</v>
      </c>
      <c r="M6" s="25">
        <v>350000</v>
      </c>
      <c r="N6" s="6">
        <v>0</v>
      </c>
      <c r="O6" s="6">
        <v>0</v>
      </c>
      <c r="P6" s="21" t="s">
        <v>33</v>
      </c>
      <c r="Q6" s="22"/>
    </row>
    <row r="7" spans="1:19" ht="12.75" customHeight="1" x14ac:dyDescent="0.25">
      <c r="A7" s="8"/>
      <c r="D7" s="9"/>
      <c r="E7" s="8"/>
      <c r="F7" s="7"/>
      <c r="G7" s="7"/>
      <c r="H7" s="7"/>
      <c r="I7" s="10"/>
      <c r="J7" s="10"/>
      <c r="K7" s="11"/>
      <c r="L7" s="12"/>
      <c r="N7" s="18"/>
      <c r="O7" s="18"/>
    </row>
    <row r="8" spans="1:19" x14ac:dyDescent="0.25">
      <c r="B8" s="48" t="s">
        <v>30</v>
      </c>
      <c r="C8" s="48"/>
      <c r="G8" s="13">
        <f>SUM(G2:G6)</f>
        <v>74</v>
      </c>
      <c r="H8" s="14">
        <f>SUM(H2:H6)</f>
        <v>68130</v>
      </c>
      <c r="I8" s="14">
        <f>SUM(I2:I6)</f>
        <v>11312</v>
      </c>
      <c r="J8" s="14">
        <f>SUM(J2:J6)</f>
        <v>79442</v>
      </c>
      <c r="K8" s="14"/>
      <c r="L8" s="49"/>
      <c r="M8" s="15">
        <f>SUM(M2:M7)</f>
        <v>15050000</v>
      </c>
      <c r="N8" s="16">
        <f>SUM(N2:N6)</f>
        <v>228000.0000000002</v>
      </c>
      <c r="O8" s="16">
        <f>SUM(O2:O6)</f>
        <v>0</v>
      </c>
    </row>
    <row r="9" spans="1:19" ht="15.75" thickBot="1" x14ac:dyDescent="0.3">
      <c r="A9" s="28" t="s">
        <v>1</v>
      </c>
      <c r="B9" s="67"/>
      <c r="C9" s="67"/>
      <c r="D9" s="67"/>
      <c r="G9" s="18"/>
      <c r="K9" s="19"/>
      <c r="M9" s="17"/>
    </row>
    <row r="10" spans="1:19" ht="15.75" thickBot="1" x14ac:dyDescent="0.3">
      <c r="B10" s="68" t="s">
        <v>3</v>
      </c>
      <c r="C10" s="68"/>
      <c r="D10" s="68"/>
      <c r="E10" s="20"/>
      <c r="G10" s="28" t="s">
        <v>49</v>
      </c>
      <c r="H10" s="56">
        <f>29/G8</f>
        <v>0.39189189189189189</v>
      </c>
      <c r="I10" s="8" t="s">
        <v>50</v>
      </c>
      <c r="M10" s="49"/>
    </row>
    <row r="11" spans="1:19" x14ac:dyDescent="0.25">
      <c r="B11" s="20"/>
      <c r="C11" s="20"/>
      <c r="D11" s="20"/>
      <c r="E11" s="20"/>
      <c r="J11"/>
      <c r="K11" s="51"/>
      <c r="L11"/>
      <c r="M11"/>
      <c r="N11"/>
    </row>
    <row r="12" spans="1:19" x14ac:dyDescent="0.25">
      <c r="A12" s="28" t="s">
        <v>2</v>
      </c>
      <c r="B12" s="69"/>
      <c r="C12" s="69"/>
      <c r="D12" s="69"/>
      <c r="H12" s="18"/>
      <c r="J12"/>
      <c r="K12"/>
      <c r="L12"/>
      <c r="M12" s="51"/>
      <c r="N12"/>
    </row>
    <row r="13" spans="1:19" x14ac:dyDescent="0.25">
      <c r="B13" s="68" t="s">
        <v>25</v>
      </c>
      <c r="C13" s="68"/>
      <c r="D13" s="68"/>
      <c r="J13"/>
      <c r="K13"/>
      <c r="L13"/>
      <c r="M13" s="51"/>
      <c r="N13" s="51"/>
      <c r="O13" s="24"/>
    </row>
    <row r="14" spans="1:19" x14ac:dyDescent="0.25">
      <c r="A14" s="8"/>
      <c r="B14" s="17"/>
      <c r="C14" s="17"/>
      <c r="J14"/>
      <c r="K14"/>
      <c r="L14"/>
      <c r="M14" s="51"/>
      <c r="N14" s="51"/>
    </row>
    <row r="15" spans="1:19" x14ac:dyDescent="0.25">
      <c r="A15" s="44" t="s">
        <v>14</v>
      </c>
      <c r="B15" s="45"/>
      <c r="C15" s="45"/>
      <c r="D15" s="45"/>
      <c r="E15" s="45"/>
      <c r="F15" s="45"/>
      <c r="G15" s="45"/>
      <c r="H15" s="46"/>
      <c r="J15"/>
      <c r="K15"/>
      <c r="L15"/>
      <c r="M15"/>
      <c r="N15" s="51"/>
    </row>
    <row r="16" spans="1:19" x14ac:dyDescent="0.25">
      <c r="A16" s="66" t="s">
        <v>34</v>
      </c>
      <c r="B16" s="29" t="s">
        <v>15</v>
      </c>
      <c r="C16" s="29"/>
      <c r="D16" s="29" t="s">
        <v>16</v>
      </c>
      <c r="E16" s="29" t="s">
        <v>17</v>
      </c>
      <c r="F16" s="29" t="s">
        <v>18</v>
      </c>
      <c r="G16" s="31"/>
      <c r="H16" s="43"/>
    </row>
    <row r="17" spans="1:13" x14ac:dyDescent="0.25">
      <c r="A17" s="66"/>
      <c r="B17" s="26" t="s">
        <v>19</v>
      </c>
      <c r="C17" s="26"/>
      <c r="D17" s="27"/>
      <c r="E17" s="27"/>
      <c r="F17" s="27">
        <v>10926</v>
      </c>
      <c r="G17" s="32"/>
      <c r="H17" s="33"/>
    </row>
    <row r="18" spans="1:13" x14ac:dyDescent="0.25">
      <c r="A18" s="30"/>
      <c r="B18" s="26" t="s">
        <v>20</v>
      </c>
      <c r="C18" s="26"/>
      <c r="D18" s="27"/>
      <c r="E18" s="27"/>
      <c r="F18" s="27">
        <v>10926</v>
      </c>
      <c r="G18" s="32"/>
      <c r="H18" s="33"/>
      <c r="M18" s="49"/>
    </row>
    <row r="19" spans="1:13" x14ac:dyDescent="0.25">
      <c r="A19" s="30"/>
      <c r="B19" s="26" t="s">
        <v>23</v>
      </c>
      <c r="C19" s="26"/>
      <c r="D19" s="27"/>
      <c r="E19" s="27"/>
      <c r="F19" s="27">
        <v>10926</v>
      </c>
      <c r="G19" s="32"/>
      <c r="H19" s="42" t="s">
        <v>22</v>
      </c>
      <c r="M19" s="49"/>
    </row>
    <row r="20" spans="1:13" x14ac:dyDescent="0.25">
      <c r="A20" s="34"/>
      <c r="B20" s="31"/>
      <c r="C20" s="31"/>
      <c r="D20" s="32">
        <f>SUM(D17:D19)</f>
        <v>0</v>
      </c>
      <c r="E20" s="32">
        <f>SUM(E17:E19)</f>
        <v>0</v>
      </c>
      <c r="F20" s="32">
        <f>SUM(F17:F19)</f>
        <v>32778</v>
      </c>
      <c r="G20" s="32"/>
      <c r="H20" s="33">
        <f>SUM(D20:G20)</f>
        <v>32778</v>
      </c>
    </row>
    <row r="21" spans="1:13" x14ac:dyDescent="0.25">
      <c r="A21" s="30"/>
      <c r="B21" s="35"/>
      <c r="C21" s="35"/>
      <c r="D21" s="35"/>
      <c r="E21" s="35"/>
      <c r="F21" s="35"/>
      <c r="G21" s="35"/>
      <c r="H21" s="36"/>
    </row>
    <row r="22" spans="1:13" x14ac:dyDescent="0.25">
      <c r="A22" s="47"/>
      <c r="B22" s="38" t="s">
        <v>21</v>
      </c>
      <c r="C22" s="38"/>
      <c r="D22" s="39">
        <f>D20/H20</f>
        <v>0</v>
      </c>
      <c r="E22" s="39">
        <f>E20/H20</f>
        <v>0</v>
      </c>
      <c r="F22" s="39">
        <f>F20/H20</f>
        <v>1</v>
      </c>
      <c r="G22" s="40"/>
      <c r="H22" s="41"/>
    </row>
    <row r="24" spans="1:13" x14ac:dyDescent="0.25">
      <c r="A24" s="44" t="s">
        <v>14</v>
      </c>
      <c r="B24" s="45"/>
      <c r="C24" s="45"/>
      <c r="D24" s="45"/>
      <c r="E24" s="45"/>
      <c r="F24" s="45"/>
      <c r="G24" s="45"/>
      <c r="H24" s="46"/>
    </row>
    <row r="25" spans="1:13" x14ac:dyDescent="0.25">
      <c r="A25" s="66" t="s">
        <v>35</v>
      </c>
      <c r="B25" s="29" t="s">
        <v>15</v>
      </c>
      <c r="C25" s="29"/>
      <c r="D25" s="29" t="s">
        <v>16</v>
      </c>
      <c r="E25" s="29" t="s">
        <v>17</v>
      </c>
      <c r="F25" s="29" t="s">
        <v>18</v>
      </c>
      <c r="G25" s="31"/>
      <c r="H25" s="43"/>
    </row>
    <row r="26" spans="1:13" x14ac:dyDescent="0.25">
      <c r="A26" s="66"/>
      <c r="B26" s="26" t="s">
        <v>19</v>
      </c>
      <c r="C26" s="26"/>
      <c r="D26" s="27"/>
      <c r="E26" s="27"/>
      <c r="F26" s="27">
        <v>5454</v>
      </c>
      <c r="G26" s="32"/>
      <c r="H26" s="33"/>
    </row>
    <row r="27" spans="1:13" x14ac:dyDescent="0.25">
      <c r="A27" s="30"/>
      <c r="B27" s="26" t="s">
        <v>20</v>
      </c>
      <c r="C27" s="26"/>
      <c r="D27" s="27"/>
      <c r="E27" s="27"/>
      <c r="F27" s="27">
        <v>5454</v>
      </c>
      <c r="G27" s="32"/>
      <c r="H27" s="33"/>
    </row>
    <row r="28" spans="1:13" x14ac:dyDescent="0.25">
      <c r="A28" s="30"/>
      <c r="B28" s="26" t="s">
        <v>23</v>
      </c>
      <c r="C28" s="26"/>
      <c r="D28" s="27"/>
      <c r="E28" s="27"/>
      <c r="F28" s="27">
        <v>5454</v>
      </c>
      <c r="G28" s="32"/>
      <c r="H28" s="42" t="s">
        <v>22</v>
      </c>
    </row>
    <row r="29" spans="1:13" x14ac:dyDescent="0.25">
      <c r="A29" s="34"/>
      <c r="B29" s="31"/>
      <c r="C29" s="31"/>
      <c r="D29" s="32">
        <f>SUM(D26:D28)</f>
        <v>0</v>
      </c>
      <c r="E29" s="32">
        <f>SUM(E26:E28)</f>
        <v>0</v>
      </c>
      <c r="F29" s="32">
        <f>SUM(F26:F28)</f>
        <v>16362</v>
      </c>
      <c r="G29" s="32"/>
      <c r="H29" s="33">
        <f>SUM(D29:G29)</f>
        <v>16362</v>
      </c>
    </row>
    <row r="30" spans="1:13" x14ac:dyDescent="0.25">
      <c r="A30" s="30"/>
      <c r="B30" s="35"/>
      <c r="C30" s="35"/>
      <c r="D30" s="35"/>
      <c r="E30" s="35"/>
      <c r="F30" s="35"/>
      <c r="G30" s="35"/>
      <c r="H30" s="36"/>
    </row>
    <row r="31" spans="1:13" x14ac:dyDescent="0.25">
      <c r="A31" s="47"/>
      <c r="B31" s="38" t="s">
        <v>21</v>
      </c>
      <c r="C31" s="38"/>
      <c r="D31" s="39">
        <f>D29/H29</f>
        <v>0</v>
      </c>
      <c r="E31" s="39">
        <f>E29/H29</f>
        <v>0</v>
      </c>
      <c r="F31" s="39">
        <f>F29/H29</f>
        <v>1</v>
      </c>
      <c r="G31" s="40"/>
      <c r="H31" s="41"/>
    </row>
    <row r="33" spans="1:12" x14ac:dyDescent="0.25">
      <c r="A33" s="44" t="s">
        <v>14</v>
      </c>
      <c r="B33" s="45"/>
      <c r="C33" s="45"/>
      <c r="D33" s="45"/>
      <c r="E33" s="45"/>
      <c r="F33" s="45"/>
      <c r="G33" s="45"/>
      <c r="H33" s="46"/>
      <c r="L33" s="3"/>
    </row>
    <row r="34" spans="1:12" x14ac:dyDescent="0.25">
      <c r="A34" s="66" t="s">
        <v>36</v>
      </c>
      <c r="B34" s="29" t="s">
        <v>15</v>
      </c>
      <c r="C34" s="29"/>
      <c r="D34" s="29" t="s">
        <v>16</v>
      </c>
      <c r="E34" s="29" t="s">
        <v>17</v>
      </c>
      <c r="F34" s="29" t="s">
        <v>18</v>
      </c>
      <c r="G34" s="31"/>
      <c r="H34" s="43"/>
      <c r="L34" s="3"/>
    </row>
    <row r="35" spans="1:12" x14ac:dyDescent="0.25">
      <c r="A35" s="66"/>
      <c r="B35" s="26" t="s">
        <v>19</v>
      </c>
      <c r="C35" s="26"/>
      <c r="D35" s="27"/>
      <c r="E35" s="27"/>
      <c r="F35" s="27">
        <v>4041</v>
      </c>
      <c r="G35" s="32"/>
      <c r="H35" s="33"/>
    </row>
    <row r="36" spans="1:12" x14ac:dyDescent="0.25">
      <c r="A36" s="30"/>
      <c r="B36" s="26" t="s">
        <v>20</v>
      </c>
      <c r="C36" s="26"/>
      <c r="D36" s="27"/>
      <c r="E36" s="27"/>
      <c r="F36" s="27">
        <v>4041</v>
      </c>
      <c r="G36" s="32"/>
      <c r="H36" s="42" t="s">
        <v>22</v>
      </c>
    </row>
    <row r="37" spans="1:12" x14ac:dyDescent="0.25">
      <c r="A37" s="30"/>
      <c r="B37" s="31"/>
      <c r="C37" s="31"/>
      <c r="D37" s="32">
        <f>SUM(D35:D36)</f>
        <v>0</v>
      </c>
      <c r="E37" s="32">
        <f>SUM(E35:E35)</f>
        <v>0</v>
      </c>
      <c r="F37" s="32">
        <f>SUM(F35:F36)</f>
        <v>8082</v>
      </c>
      <c r="G37" s="32"/>
      <c r="H37" s="33">
        <f>SUM(D37:G37)</f>
        <v>8082</v>
      </c>
    </row>
    <row r="38" spans="1:12" x14ac:dyDescent="0.25">
      <c r="A38" s="34"/>
      <c r="B38" s="35"/>
      <c r="C38" s="35"/>
      <c r="D38" s="35"/>
      <c r="E38" s="35"/>
      <c r="F38" s="35"/>
      <c r="G38" s="35"/>
      <c r="H38" s="36"/>
    </row>
    <row r="39" spans="1:12" x14ac:dyDescent="0.25">
      <c r="A39" s="37"/>
      <c r="B39" s="38" t="s">
        <v>21</v>
      </c>
      <c r="C39" s="38"/>
      <c r="D39" s="39">
        <f>D37/H37</f>
        <v>0</v>
      </c>
      <c r="E39" s="39">
        <f>E37/H37</f>
        <v>0</v>
      </c>
      <c r="F39" s="39">
        <f>F37/H37</f>
        <v>1</v>
      </c>
      <c r="G39" s="40"/>
      <c r="H39" s="41"/>
    </row>
    <row r="41" spans="1:12" x14ac:dyDescent="0.25">
      <c r="A41" s="44" t="s">
        <v>14</v>
      </c>
      <c r="B41" s="45"/>
      <c r="C41" s="45"/>
      <c r="D41" s="45"/>
      <c r="E41" s="45"/>
      <c r="F41" s="45"/>
      <c r="G41" s="45"/>
      <c r="H41" s="46"/>
      <c r="L41" s="3"/>
    </row>
    <row r="42" spans="1:12" x14ac:dyDescent="0.25">
      <c r="A42" s="66" t="s">
        <v>37</v>
      </c>
      <c r="B42" s="29" t="s">
        <v>15</v>
      </c>
      <c r="C42" s="29"/>
      <c r="D42" s="29" t="s">
        <v>16</v>
      </c>
      <c r="E42" s="29" t="s">
        <v>17</v>
      </c>
      <c r="F42" s="29" t="s">
        <v>18</v>
      </c>
      <c r="G42" s="31"/>
      <c r="H42" s="43"/>
      <c r="L42" s="3"/>
    </row>
    <row r="43" spans="1:12" x14ac:dyDescent="0.25">
      <c r="A43" s="66"/>
      <c r="B43" s="26" t="s">
        <v>19</v>
      </c>
      <c r="C43" s="26"/>
      <c r="D43" s="27"/>
      <c r="E43" s="27"/>
      <c r="F43" s="27">
        <v>5454</v>
      </c>
      <c r="G43" s="32"/>
      <c r="H43" s="33"/>
    </row>
    <row r="44" spans="1:12" x14ac:dyDescent="0.25">
      <c r="A44" s="30"/>
      <c r="B44" s="26" t="s">
        <v>20</v>
      </c>
      <c r="C44" s="26"/>
      <c r="D44" s="27"/>
      <c r="E44" s="27"/>
      <c r="F44" s="27">
        <v>5454</v>
      </c>
      <c r="G44" s="32"/>
      <c r="H44" s="42" t="s">
        <v>22</v>
      </c>
    </row>
    <row r="45" spans="1:12" x14ac:dyDescent="0.25">
      <c r="A45" s="30"/>
      <c r="B45" s="31"/>
      <c r="C45" s="31"/>
      <c r="D45" s="32">
        <f>SUM(D43:D44)</f>
        <v>0</v>
      </c>
      <c r="E45" s="32">
        <f>SUM(E43:E43)</f>
        <v>0</v>
      </c>
      <c r="F45" s="32">
        <f>SUM(F43:F44)</f>
        <v>10908</v>
      </c>
      <c r="G45" s="32"/>
      <c r="H45" s="33">
        <f>SUM(D45:G45)</f>
        <v>10908</v>
      </c>
    </row>
    <row r="46" spans="1:12" x14ac:dyDescent="0.25">
      <c r="A46" s="34"/>
      <c r="B46" s="35"/>
      <c r="C46" s="35"/>
      <c r="D46" s="35"/>
      <c r="E46" s="35"/>
      <c r="F46" s="35"/>
      <c r="G46" s="35"/>
      <c r="H46" s="36"/>
    </row>
    <row r="47" spans="1:12" x14ac:dyDescent="0.25">
      <c r="A47" s="37"/>
      <c r="B47" s="38" t="s">
        <v>21</v>
      </c>
      <c r="C47" s="38"/>
      <c r="D47" s="39">
        <f>D45/H45</f>
        <v>0</v>
      </c>
      <c r="E47" s="39">
        <f>E45/H45</f>
        <v>0</v>
      </c>
      <c r="F47" s="39">
        <f>F45/H45</f>
        <v>1</v>
      </c>
      <c r="G47" s="40"/>
      <c r="H47" s="41"/>
    </row>
  </sheetData>
  <mergeCells count="8">
    <mergeCell ref="A34:A35"/>
    <mergeCell ref="A42:A43"/>
    <mergeCell ref="B9:D9"/>
    <mergeCell ref="B10:D10"/>
    <mergeCell ref="B12:D12"/>
    <mergeCell ref="B13:D13"/>
    <mergeCell ref="A16:A17"/>
    <mergeCell ref="A25:A26"/>
  </mergeCells>
  <pageMargins left="0.75" right="0.75" top="1" bottom="1" header="0.5" footer="0.5"/>
  <pageSetup scale="57" fitToHeight="0" orientation="landscape" r:id="rId1"/>
  <headerFooter alignWithMargins="0">
    <oddHeader>&amp;C&amp;"-,Bold"&amp;14 2022 Statement of Values&amp;R&amp;"-,Regular"&amp;11The Partners Group, Ltd.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1:R48"/>
  <sheetViews>
    <sheetView view="pageLayout" zoomScale="85" zoomScaleNormal="160" zoomScalePageLayoutView="85" workbookViewId="0">
      <selection activeCell="K12" sqref="K12"/>
    </sheetView>
  </sheetViews>
  <sheetFormatPr defaultRowHeight="15" x14ac:dyDescent="0.25"/>
  <cols>
    <col min="1" max="1" width="13.5703125" style="3" customWidth="1"/>
    <col min="2" max="2" width="24.140625" style="3" customWidth="1"/>
    <col min="3" max="3" width="12.5703125" style="3" customWidth="1"/>
    <col min="4" max="4" width="12.28515625" style="3" customWidth="1"/>
    <col min="5" max="5" width="11.5703125" style="3" customWidth="1"/>
    <col min="6" max="6" width="9.5703125" style="3" customWidth="1"/>
    <col min="7" max="9" width="11.7109375" style="3" customWidth="1"/>
    <col min="10" max="10" width="12.28515625" style="3" customWidth="1"/>
    <col min="11" max="11" width="11.28515625" style="17" customWidth="1"/>
    <col min="12" max="12" width="14.5703125" style="3" customWidth="1"/>
    <col min="13" max="13" width="16.140625" style="3" customWidth="1"/>
    <col min="14" max="14" width="10.140625" style="3" customWidth="1"/>
    <col min="15" max="15" width="9.140625" style="3" customWidth="1"/>
    <col min="16" max="16" width="11.28515625" style="3" bestFit="1" customWidth="1"/>
    <col min="17" max="17" width="10.28515625" style="3" customWidth="1"/>
    <col min="18" max="18" width="13" style="3" bestFit="1" customWidth="1"/>
    <col min="19" max="16384" width="9.140625" style="3"/>
  </cols>
  <sheetData>
    <row r="1" spans="1:18" ht="30" x14ac:dyDescent="0.25">
      <c r="A1" s="1" t="s">
        <v>0</v>
      </c>
      <c r="B1" s="1" t="s">
        <v>4</v>
      </c>
      <c r="C1" s="1" t="s">
        <v>13</v>
      </c>
      <c r="D1" s="1" t="s">
        <v>12</v>
      </c>
      <c r="E1" s="1" t="s">
        <v>5</v>
      </c>
      <c r="F1" s="1" t="s">
        <v>6</v>
      </c>
      <c r="G1" s="1" t="s">
        <v>26</v>
      </c>
      <c r="H1" s="1" t="s">
        <v>27</v>
      </c>
      <c r="I1" s="1" t="s">
        <v>28</v>
      </c>
      <c r="J1" s="1" t="s">
        <v>10</v>
      </c>
      <c r="K1" s="1" t="s">
        <v>7</v>
      </c>
      <c r="L1" s="1" t="s">
        <v>11</v>
      </c>
      <c r="M1" s="2" t="s">
        <v>8</v>
      </c>
      <c r="N1" s="2" t="s">
        <v>24</v>
      </c>
      <c r="O1" s="2" t="s">
        <v>9</v>
      </c>
      <c r="P1" s="50"/>
      <c r="Q1" s="50"/>
    </row>
    <row r="2" spans="1:18" ht="12.75" customHeight="1" x14ac:dyDescent="0.25">
      <c r="A2" s="4">
        <v>1</v>
      </c>
      <c r="B2" s="4" t="s">
        <v>29</v>
      </c>
      <c r="C2" s="4" t="s">
        <v>31</v>
      </c>
      <c r="D2" s="4">
        <v>1980</v>
      </c>
      <c r="E2" s="4">
        <v>3</v>
      </c>
      <c r="F2" s="4">
        <v>36</v>
      </c>
      <c r="G2" s="5">
        <f>G21</f>
        <v>32778</v>
      </c>
      <c r="H2" s="5">
        <v>0</v>
      </c>
      <c r="I2" s="5">
        <f>SUM(G2:H2)</f>
        <v>32778</v>
      </c>
      <c r="J2" s="5" t="s">
        <v>32</v>
      </c>
      <c r="K2" s="25">
        <f>L2/I2</f>
        <v>205.28738788211606</v>
      </c>
      <c r="L2" s="25">
        <v>6728910</v>
      </c>
      <c r="M2" s="6">
        <f>256.756756756757*F2*12</f>
        <v>110918.91891891902</v>
      </c>
      <c r="N2" s="6">
        <v>0</v>
      </c>
      <c r="O2" s="21" t="s">
        <v>33</v>
      </c>
      <c r="P2" s="22"/>
      <c r="Q2" s="49"/>
    </row>
    <row r="3" spans="1:18" ht="12.75" customHeight="1" x14ac:dyDescent="0.25">
      <c r="A3" s="4">
        <v>2</v>
      </c>
      <c r="B3" s="4" t="s">
        <v>40</v>
      </c>
      <c r="C3" s="4" t="s">
        <v>31</v>
      </c>
      <c r="D3" s="4">
        <v>1980</v>
      </c>
      <c r="E3" s="4">
        <v>3</v>
      </c>
      <c r="F3" s="4">
        <v>18</v>
      </c>
      <c r="G3" s="5">
        <f>G30</f>
        <v>16362</v>
      </c>
      <c r="H3" s="5">
        <v>0</v>
      </c>
      <c r="I3" s="5">
        <f>SUM(G3:H3)</f>
        <v>16362</v>
      </c>
      <c r="J3" s="5" t="s">
        <v>32</v>
      </c>
      <c r="K3" s="25">
        <f>L3/I3</f>
        <v>241.56374526341523</v>
      </c>
      <c r="L3" s="25">
        <v>3952466</v>
      </c>
      <c r="M3" s="6">
        <f>256.756756756757*F3*12</f>
        <v>55459.459459459511</v>
      </c>
      <c r="N3" s="6">
        <v>0</v>
      </c>
      <c r="O3" s="21" t="s">
        <v>33</v>
      </c>
      <c r="P3" s="22"/>
      <c r="Q3" s="49"/>
      <c r="R3" s="49"/>
    </row>
    <row r="4" spans="1:18" ht="12.75" customHeight="1" x14ac:dyDescent="0.25">
      <c r="A4" s="4">
        <v>3</v>
      </c>
      <c r="B4" s="4" t="s">
        <v>41</v>
      </c>
      <c r="C4" s="4" t="s">
        <v>31</v>
      </c>
      <c r="D4" s="4">
        <v>1980</v>
      </c>
      <c r="E4" s="4">
        <v>2</v>
      </c>
      <c r="F4" s="4">
        <v>8</v>
      </c>
      <c r="G4" s="5">
        <f>G38</f>
        <v>8082</v>
      </c>
      <c r="H4" s="5">
        <v>0</v>
      </c>
      <c r="I4" s="5">
        <f>SUM(G4:H4)</f>
        <v>8082</v>
      </c>
      <c r="J4" s="5" t="s">
        <v>32</v>
      </c>
      <c r="K4" s="25">
        <f>L4/I4</f>
        <v>248.97896560257362</v>
      </c>
      <c r="L4" s="25">
        <v>2012248</v>
      </c>
      <c r="M4" s="6">
        <f>256.756756756757*F4*12</f>
        <v>24648.648648648672</v>
      </c>
      <c r="N4" s="6">
        <v>0</v>
      </c>
      <c r="O4" s="21" t="s">
        <v>33</v>
      </c>
      <c r="P4" s="22"/>
      <c r="Q4" s="49"/>
      <c r="R4" s="49"/>
    </row>
    <row r="5" spans="1:18" ht="12.75" customHeight="1" x14ac:dyDescent="0.25">
      <c r="A5" s="4">
        <v>4</v>
      </c>
      <c r="B5" s="4" t="s">
        <v>42</v>
      </c>
      <c r="C5" s="4" t="s">
        <v>31</v>
      </c>
      <c r="D5" s="4">
        <v>1980</v>
      </c>
      <c r="E5" s="4">
        <v>3</v>
      </c>
      <c r="F5" s="4">
        <v>12</v>
      </c>
      <c r="G5" s="5">
        <f>G46</f>
        <v>10908</v>
      </c>
      <c r="H5" s="5">
        <v>0</v>
      </c>
      <c r="I5" s="5">
        <f>SUM(G5:H5)</f>
        <v>10908</v>
      </c>
      <c r="J5" s="5" t="s">
        <v>32</v>
      </c>
      <c r="K5" s="25">
        <f>L5/I5</f>
        <v>249.22249724972497</v>
      </c>
      <c r="L5" s="25">
        <v>2718519</v>
      </c>
      <c r="M5" s="6">
        <f>256.756756756757*F5*12</f>
        <v>36972.97297297301</v>
      </c>
      <c r="N5" s="6">
        <v>0</v>
      </c>
      <c r="O5" s="21" t="s">
        <v>33</v>
      </c>
      <c r="P5" s="22"/>
      <c r="Q5" s="49"/>
    </row>
    <row r="6" spans="1:18" ht="12.75" customHeight="1" x14ac:dyDescent="0.25">
      <c r="A6" s="4" t="s">
        <v>38</v>
      </c>
      <c r="B6" s="4" t="s">
        <v>29</v>
      </c>
      <c r="C6" s="4" t="s">
        <v>31</v>
      </c>
      <c r="D6" s="4">
        <v>1980</v>
      </c>
      <c r="E6" s="4">
        <v>1</v>
      </c>
      <c r="F6" s="4">
        <v>0</v>
      </c>
      <c r="G6" s="5" t="s">
        <v>32</v>
      </c>
      <c r="H6" s="5">
        <f>1659+2292+1799+1582+1769+883+332+332+332+332</f>
        <v>11312</v>
      </c>
      <c r="I6" s="5">
        <f>SUM(G6:H6)</f>
        <v>11312</v>
      </c>
      <c r="J6" s="5" t="s">
        <v>32</v>
      </c>
      <c r="K6" s="25">
        <v>25</v>
      </c>
      <c r="L6" s="25">
        <v>588338</v>
      </c>
      <c r="M6" s="6">
        <v>0</v>
      </c>
      <c r="N6" s="6">
        <v>0</v>
      </c>
      <c r="O6" s="21" t="s">
        <v>33</v>
      </c>
      <c r="P6" s="22"/>
    </row>
    <row r="7" spans="1:18" ht="12.75" customHeight="1" x14ac:dyDescent="0.25">
      <c r="A7" s="8"/>
      <c r="C7" s="9"/>
      <c r="D7" s="8"/>
      <c r="E7" s="7"/>
      <c r="F7" s="7"/>
      <c r="G7" s="7"/>
      <c r="H7" s="10"/>
      <c r="I7" s="10"/>
      <c r="J7" s="11"/>
      <c r="K7" s="12"/>
      <c r="L7" s="3">
        <v>0</v>
      </c>
      <c r="M7" s="18"/>
      <c r="N7" s="18"/>
    </row>
    <row r="8" spans="1:18" x14ac:dyDescent="0.25">
      <c r="B8" s="48" t="s">
        <v>30</v>
      </c>
      <c r="F8" s="13">
        <f>SUM(F2:F6)</f>
        <v>74</v>
      </c>
      <c r="G8" s="14">
        <f>SUM(G2:G6)</f>
        <v>68130</v>
      </c>
      <c r="H8" s="14">
        <f>SUM(H2:H6)</f>
        <v>11312</v>
      </c>
      <c r="I8" s="14">
        <f>SUM(I2:I6)</f>
        <v>79442</v>
      </c>
      <c r="J8" s="14"/>
      <c r="K8" s="49"/>
      <c r="L8" s="15">
        <f>SUM(L2:L6)</f>
        <v>16000481</v>
      </c>
      <c r="M8" s="16">
        <f>SUM(M2:M6)</f>
        <v>228000.0000000002</v>
      </c>
      <c r="N8" s="16">
        <f>SUM(N2:N6)</f>
        <v>0</v>
      </c>
    </row>
    <row r="9" spans="1:18" ht="15.75" thickBot="1" x14ac:dyDescent="0.3">
      <c r="B9" s="48"/>
      <c r="F9" s="13"/>
      <c r="G9" s="14"/>
      <c r="H9" s="14"/>
      <c r="I9" s="14"/>
      <c r="J9" s="14"/>
      <c r="K9" s="49"/>
      <c r="L9" s="15"/>
      <c r="M9" s="16"/>
      <c r="N9" s="16"/>
    </row>
    <row r="10" spans="1:18" ht="15.75" thickBot="1" x14ac:dyDescent="0.3">
      <c r="A10" s="28" t="s">
        <v>1</v>
      </c>
      <c r="B10" s="67"/>
      <c r="C10" s="67"/>
      <c r="F10" s="28" t="s">
        <v>49</v>
      </c>
      <c r="G10" s="56">
        <f>29/F8</f>
        <v>0.39189189189189189</v>
      </c>
      <c r="H10" s="8" t="s">
        <v>50</v>
      </c>
      <c r="J10" s="19"/>
      <c r="L10" s="17"/>
    </row>
    <row r="11" spans="1:18" x14ac:dyDescent="0.25">
      <c r="B11" s="68" t="s">
        <v>3</v>
      </c>
      <c r="C11" s="68"/>
      <c r="D11" s="20"/>
    </row>
    <row r="12" spans="1:18" x14ac:dyDescent="0.25">
      <c r="B12" s="20"/>
      <c r="C12" s="20"/>
      <c r="D12" s="20"/>
      <c r="I12"/>
      <c r="J12" s="51"/>
      <c r="K12"/>
      <c r="L12"/>
      <c r="M12"/>
    </row>
    <row r="13" spans="1:18" ht="15.75" thickBot="1" x14ac:dyDescent="0.3">
      <c r="A13" s="28" t="s">
        <v>2</v>
      </c>
      <c r="B13" s="69"/>
      <c r="C13" s="69"/>
      <c r="G13" s="18"/>
      <c r="I13"/>
      <c r="J13"/>
      <c r="K13"/>
      <c r="L13"/>
      <c r="M13"/>
    </row>
    <row r="14" spans="1:18" ht="15.75" thickBot="1" x14ac:dyDescent="0.3">
      <c r="B14" s="68" t="s">
        <v>25</v>
      </c>
      <c r="C14" s="68"/>
      <c r="G14" s="70" t="s">
        <v>47</v>
      </c>
      <c r="H14" s="71"/>
      <c r="I14" s="54">
        <f>30/F8</f>
        <v>0.40540540540540543</v>
      </c>
      <c r="J14" s="55" t="s">
        <v>48</v>
      </c>
      <c r="K14"/>
      <c r="L14" s="51"/>
      <c r="M14" s="51"/>
      <c r="N14" s="24"/>
    </row>
    <row r="15" spans="1:18" x14ac:dyDescent="0.25">
      <c r="A15" s="8"/>
      <c r="B15" s="17"/>
      <c r="I15"/>
      <c r="J15"/>
      <c r="K15"/>
      <c r="L15" s="51"/>
      <c r="M15" s="53"/>
    </row>
    <row r="16" spans="1:18" x14ac:dyDescent="0.25">
      <c r="A16" s="44" t="s">
        <v>14</v>
      </c>
      <c r="B16" s="45"/>
      <c r="C16" s="45"/>
      <c r="D16" s="45"/>
      <c r="E16" s="45"/>
      <c r="F16" s="45"/>
      <c r="G16" s="46"/>
      <c r="I16"/>
      <c r="J16"/>
      <c r="K16"/>
      <c r="L16"/>
      <c r="M16" s="53"/>
    </row>
    <row r="17" spans="1:13" x14ac:dyDescent="0.25">
      <c r="A17" s="66" t="s">
        <v>34</v>
      </c>
      <c r="B17" s="29" t="s">
        <v>15</v>
      </c>
      <c r="C17" s="29" t="s">
        <v>16</v>
      </c>
      <c r="D17" s="29" t="s">
        <v>17</v>
      </c>
      <c r="E17" s="29" t="s">
        <v>18</v>
      </c>
      <c r="F17" s="31"/>
      <c r="G17" s="43"/>
      <c r="M17" s="53"/>
    </row>
    <row r="18" spans="1:13" x14ac:dyDescent="0.25">
      <c r="A18" s="66"/>
      <c r="B18" s="26" t="s">
        <v>19</v>
      </c>
      <c r="C18" s="27"/>
      <c r="D18" s="27"/>
      <c r="E18" s="27">
        <v>10926</v>
      </c>
      <c r="F18" s="32"/>
      <c r="G18" s="33"/>
      <c r="M18" s="53"/>
    </row>
    <row r="19" spans="1:13" x14ac:dyDescent="0.25">
      <c r="A19" s="30"/>
      <c r="B19" s="26" t="s">
        <v>20</v>
      </c>
      <c r="C19" s="27"/>
      <c r="D19" s="27"/>
      <c r="E19" s="27">
        <v>10926</v>
      </c>
      <c r="F19" s="32"/>
      <c r="G19" s="33"/>
      <c r="L19" s="49"/>
      <c r="M19" s="53"/>
    </row>
    <row r="20" spans="1:13" x14ac:dyDescent="0.25">
      <c r="A20" s="30"/>
      <c r="B20" s="26" t="s">
        <v>23</v>
      </c>
      <c r="C20" s="27"/>
      <c r="D20" s="27"/>
      <c r="E20" s="27">
        <v>10926</v>
      </c>
      <c r="F20" s="32"/>
      <c r="G20" s="42" t="s">
        <v>22</v>
      </c>
      <c r="L20" s="49"/>
      <c r="M20" s="53"/>
    </row>
    <row r="21" spans="1:13" x14ac:dyDescent="0.25">
      <c r="A21" s="34"/>
      <c r="B21" s="31"/>
      <c r="C21" s="32">
        <f>SUM(C18:C20)</f>
        <v>0</v>
      </c>
      <c r="D21" s="32">
        <f>SUM(D18:D20)</f>
        <v>0</v>
      </c>
      <c r="E21" s="32">
        <f>SUM(E18:E20)</f>
        <v>32778</v>
      </c>
      <c r="F21" s="32"/>
      <c r="G21" s="33">
        <f>SUM(C21:F21)</f>
        <v>32778</v>
      </c>
    </row>
    <row r="22" spans="1:13" x14ac:dyDescent="0.25">
      <c r="A22" s="30"/>
      <c r="B22" s="35"/>
      <c r="C22" s="35"/>
      <c r="D22" s="35"/>
      <c r="E22" s="35"/>
      <c r="F22" s="35"/>
      <c r="G22" s="36"/>
    </row>
    <row r="23" spans="1:13" x14ac:dyDescent="0.25">
      <c r="A23" s="47"/>
      <c r="B23" s="38" t="s">
        <v>21</v>
      </c>
      <c r="C23" s="39">
        <f>C21/G21</f>
        <v>0</v>
      </c>
      <c r="D23" s="39">
        <f>D21/G21</f>
        <v>0</v>
      </c>
      <c r="E23" s="39">
        <f>E21/G21</f>
        <v>1</v>
      </c>
      <c r="F23" s="40"/>
      <c r="G23" s="41"/>
    </row>
    <row r="25" spans="1:13" x14ac:dyDescent="0.25">
      <c r="A25" s="44" t="s">
        <v>14</v>
      </c>
      <c r="B25" s="45"/>
      <c r="C25" s="45"/>
      <c r="D25" s="45"/>
      <c r="E25" s="45"/>
      <c r="F25" s="45"/>
      <c r="G25" s="46"/>
    </row>
    <row r="26" spans="1:13" x14ac:dyDescent="0.25">
      <c r="A26" s="66" t="s">
        <v>35</v>
      </c>
      <c r="B26" s="29" t="s">
        <v>15</v>
      </c>
      <c r="C26" s="29" t="s">
        <v>16</v>
      </c>
      <c r="D26" s="29" t="s">
        <v>17</v>
      </c>
      <c r="E26" s="29" t="s">
        <v>18</v>
      </c>
      <c r="F26" s="31"/>
      <c r="G26" s="43"/>
    </row>
    <row r="27" spans="1:13" x14ac:dyDescent="0.25">
      <c r="A27" s="66"/>
      <c r="B27" s="26" t="s">
        <v>19</v>
      </c>
      <c r="C27" s="27"/>
      <c r="D27" s="27"/>
      <c r="E27" s="27">
        <v>5454</v>
      </c>
      <c r="F27" s="32"/>
      <c r="G27" s="33"/>
    </row>
    <row r="28" spans="1:13" x14ac:dyDescent="0.25">
      <c r="A28" s="30"/>
      <c r="B28" s="26" t="s">
        <v>20</v>
      </c>
      <c r="C28" s="27"/>
      <c r="D28" s="27"/>
      <c r="E28" s="27">
        <v>5454</v>
      </c>
      <c r="F28" s="32"/>
      <c r="G28" s="33"/>
    </row>
    <row r="29" spans="1:13" x14ac:dyDescent="0.25">
      <c r="A29" s="30"/>
      <c r="B29" s="26" t="s">
        <v>23</v>
      </c>
      <c r="C29" s="27"/>
      <c r="D29" s="27"/>
      <c r="E29" s="27">
        <v>5454</v>
      </c>
      <c r="F29" s="32"/>
      <c r="G29" s="42" t="s">
        <v>22</v>
      </c>
    </row>
    <row r="30" spans="1:13" x14ac:dyDescent="0.25">
      <c r="A30" s="34"/>
      <c r="B30" s="31"/>
      <c r="C30" s="32">
        <f>SUM(C27:C29)</f>
        <v>0</v>
      </c>
      <c r="D30" s="32">
        <f>SUM(D27:D29)</f>
        <v>0</v>
      </c>
      <c r="E30" s="32">
        <f>SUM(E27:E29)</f>
        <v>16362</v>
      </c>
      <c r="F30" s="32"/>
      <c r="G30" s="33">
        <f>SUM(C30:F30)</f>
        <v>16362</v>
      </c>
    </row>
    <row r="31" spans="1:13" x14ac:dyDescent="0.25">
      <c r="A31" s="30"/>
      <c r="B31" s="35"/>
      <c r="C31" s="35"/>
      <c r="D31" s="35"/>
      <c r="E31" s="35"/>
      <c r="F31" s="35"/>
      <c r="G31" s="36"/>
    </row>
    <row r="32" spans="1:13" x14ac:dyDescent="0.25">
      <c r="A32" s="47"/>
      <c r="B32" s="38" t="s">
        <v>21</v>
      </c>
      <c r="C32" s="39">
        <f>C30/G30</f>
        <v>0</v>
      </c>
      <c r="D32" s="39">
        <f>D30/G30</f>
        <v>0</v>
      </c>
      <c r="E32" s="39">
        <f>E30/G30</f>
        <v>1</v>
      </c>
      <c r="F32" s="40"/>
      <c r="G32" s="41"/>
    </row>
    <row r="34" spans="1:11" x14ac:dyDescent="0.25">
      <c r="A34" s="44" t="s">
        <v>14</v>
      </c>
      <c r="B34" s="45"/>
      <c r="C34" s="45"/>
      <c r="D34" s="45"/>
      <c r="E34" s="45"/>
      <c r="F34" s="45"/>
      <c r="G34" s="46"/>
      <c r="K34" s="3"/>
    </row>
    <row r="35" spans="1:11" x14ac:dyDescent="0.25">
      <c r="A35" s="66" t="s">
        <v>36</v>
      </c>
      <c r="B35" s="29" t="s">
        <v>15</v>
      </c>
      <c r="C35" s="29" t="s">
        <v>16</v>
      </c>
      <c r="D35" s="29" t="s">
        <v>17</v>
      </c>
      <c r="E35" s="29" t="s">
        <v>18</v>
      </c>
      <c r="F35" s="31"/>
      <c r="G35" s="43"/>
      <c r="K35" s="3"/>
    </row>
    <row r="36" spans="1:11" x14ac:dyDescent="0.25">
      <c r="A36" s="66"/>
      <c r="B36" s="26" t="s">
        <v>19</v>
      </c>
      <c r="C36" s="27"/>
      <c r="D36" s="27"/>
      <c r="E36" s="27">
        <v>4041</v>
      </c>
      <c r="F36" s="32"/>
      <c r="G36" s="33"/>
    </row>
    <row r="37" spans="1:11" x14ac:dyDescent="0.25">
      <c r="A37" s="30"/>
      <c r="B37" s="26" t="s">
        <v>20</v>
      </c>
      <c r="C37" s="27"/>
      <c r="D37" s="27"/>
      <c r="E37" s="27">
        <v>4041</v>
      </c>
      <c r="F37" s="32"/>
      <c r="G37" s="42" t="s">
        <v>22</v>
      </c>
    </row>
    <row r="38" spans="1:11" x14ac:dyDescent="0.25">
      <c r="A38" s="30"/>
      <c r="B38" s="31"/>
      <c r="C38" s="32">
        <f>SUM(C36:C37)</f>
        <v>0</v>
      </c>
      <c r="D38" s="32">
        <f>SUM(D36:D36)</f>
        <v>0</v>
      </c>
      <c r="E38" s="32">
        <f>SUM(E36:E37)</f>
        <v>8082</v>
      </c>
      <c r="F38" s="32"/>
      <c r="G38" s="33">
        <f>SUM(C38:F38)</f>
        <v>8082</v>
      </c>
    </row>
    <row r="39" spans="1:11" x14ac:dyDescent="0.25">
      <c r="A39" s="34"/>
      <c r="B39" s="35"/>
      <c r="C39" s="35"/>
      <c r="D39" s="35"/>
      <c r="E39" s="35"/>
      <c r="F39" s="35"/>
      <c r="G39" s="36"/>
    </row>
    <row r="40" spans="1:11" x14ac:dyDescent="0.25">
      <c r="A40" s="37"/>
      <c r="B40" s="38" t="s">
        <v>21</v>
      </c>
      <c r="C40" s="39">
        <f>C38/G38</f>
        <v>0</v>
      </c>
      <c r="D40" s="39">
        <f>D38/G38</f>
        <v>0</v>
      </c>
      <c r="E40" s="39">
        <f>E38/G38</f>
        <v>1</v>
      </c>
      <c r="F40" s="40"/>
      <c r="G40" s="41"/>
    </row>
    <row r="42" spans="1:11" x14ac:dyDescent="0.25">
      <c r="A42" s="44" t="s">
        <v>14</v>
      </c>
      <c r="B42" s="45"/>
      <c r="C42" s="45"/>
      <c r="D42" s="45"/>
      <c r="E42" s="45"/>
      <c r="F42" s="45"/>
      <c r="G42" s="46"/>
      <c r="K42" s="3"/>
    </row>
    <row r="43" spans="1:11" x14ac:dyDescent="0.25">
      <c r="A43" s="66" t="s">
        <v>37</v>
      </c>
      <c r="B43" s="29" t="s">
        <v>15</v>
      </c>
      <c r="C43" s="29" t="s">
        <v>16</v>
      </c>
      <c r="D43" s="29" t="s">
        <v>17</v>
      </c>
      <c r="E43" s="29" t="s">
        <v>18</v>
      </c>
      <c r="F43" s="31"/>
      <c r="G43" s="43"/>
      <c r="K43" s="3"/>
    </row>
    <row r="44" spans="1:11" x14ac:dyDescent="0.25">
      <c r="A44" s="66"/>
      <c r="B44" s="26" t="s">
        <v>19</v>
      </c>
      <c r="C44" s="27"/>
      <c r="D44" s="27"/>
      <c r="E44" s="27">
        <v>5454</v>
      </c>
      <c r="F44" s="32"/>
      <c r="G44" s="33"/>
    </row>
    <row r="45" spans="1:11" x14ac:dyDescent="0.25">
      <c r="A45" s="30"/>
      <c r="B45" s="26" t="s">
        <v>20</v>
      </c>
      <c r="C45" s="27"/>
      <c r="D45" s="27"/>
      <c r="E45" s="27">
        <v>5454</v>
      </c>
      <c r="F45" s="32"/>
      <c r="G45" s="42" t="s">
        <v>22</v>
      </c>
    </row>
    <row r="46" spans="1:11" x14ac:dyDescent="0.25">
      <c r="A46" s="30"/>
      <c r="B46" s="31"/>
      <c r="C46" s="32">
        <f>SUM(C44:C45)</f>
        <v>0</v>
      </c>
      <c r="D46" s="32">
        <f>SUM(D44:D44)</f>
        <v>0</v>
      </c>
      <c r="E46" s="32">
        <f>SUM(E44:E45)</f>
        <v>10908</v>
      </c>
      <c r="F46" s="32"/>
      <c r="G46" s="33">
        <f>SUM(C46:F46)</f>
        <v>10908</v>
      </c>
    </row>
    <row r="47" spans="1:11" x14ac:dyDescent="0.25">
      <c r="A47" s="34"/>
      <c r="B47" s="35"/>
      <c r="C47" s="35"/>
      <c r="D47" s="35"/>
      <c r="E47" s="35"/>
      <c r="F47" s="35"/>
      <c r="G47" s="36"/>
    </row>
    <row r="48" spans="1:11" x14ac:dyDescent="0.25">
      <c r="A48" s="37"/>
      <c r="B48" s="38" t="s">
        <v>21</v>
      </c>
      <c r="C48" s="39">
        <f>C46/G46</f>
        <v>0</v>
      </c>
      <c r="D48" s="39">
        <f>D46/G46</f>
        <v>0</v>
      </c>
      <c r="E48" s="39">
        <f>E46/G46</f>
        <v>1</v>
      </c>
      <c r="F48" s="40"/>
      <c r="G48" s="41"/>
    </row>
  </sheetData>
  <mergeCells count="9">
    <mergeCell ref="G14:H14"/>
    <mergeCell ref="A35:A36"/>
    <mergeCell ref="A43:A44"/>
    <mergeCell ref="B10:C10"/>
    <mergeCell ref="B11:C11"/>
    <mergeCell ref="B13:C13"/>
    <mergeCell ref="B14:C14"/>
    <mergeCell ref="A17:A18"/>
    <mergeCell ref="A26:A27"/>
  </mergeCells>
  <pageMargins left="0.75" right="0.75" top="1" bottom="1" header="0.5" footer="0.5"/>
  <pageSetup scale="64" fitToHeight="0" orientation="landscape" r:id="rId1"/>
  <headerFooter alignWithMargins="0">
    <oddHeader>&amp;C&amp;"-,Bold"&amp;14 2022 Statement of Values&amp;R&amp;"-,Regular"&amp;11The Partners Group, Ltd.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S47"/>
  <sheetViews>
    <sheetView view="pageLayout" zoomScale="85" zoomScaleNormal="160" zoomScalePageLayoutView="85" workbookViewId="0">
      <selection activeCell="L13" sqref="L13"/>
    </sheetView>
  </sheetViews>
  <sheetFormatPr defaultRowHeight="15" x14ac:dyDescent="0.25"/>
  <cols>
    <col min="1" max="1" width="13.5703125" style="3" customWidth="1"/>
    <col min="2" max="3" width="24.140625" style="3" customWidth="1"/>
    <col min="4" max="4" width="12.5703125" style="3" customWidth="1"/>
    <col min="5" max="5" width="12.28515625" style="3" customWidth="1"/>
    <col min="6" max="6" width="11.5703125" style="3" customWidth="1"/>
    <col min="7" max="7" width="9.5703125" style="3" customWidth="1"/>
    <col min="8" max="10" width="11.7109375" style="3" customWidth="1"/>
    <col min="11" max="11" width="12.28515625" style="3" customWidth="1"/>
    <col min="12" max="12" width="11.28515625" style="17" customWidth="1"/>
    <col min="13" max="13" width="14.5703125" style="3" customWidth="1"/>
    <col min="14" max="14" width="16.140625" style="3" customWidth="1"/>
    <col min="15" max="15" width="10.140625" style="3" customWidth="1"/>
    <col min="16" max="16" width="9.140625" style="3" customWidth="1"/>
    <col min="17" max="17" width="11.28515625" style="3" bestFit="1" customWidth="1"/>
    <col min="18" max="18" width="10.28515625" style="3" customWidth="1"/>
    <col min="19" max="19" width="13" style="3" bestFit="1" customWidth="1"/>
    <col min="20" max="16384" width="9.140625" style="3"/>
  </cols>
  <sheetData>
    <row r="1" spans="1:19" ht="30" x14ac:dyDescent="0.25">
      <c r="A1" s="1" t="s">
        <v>0</v>
      </c>
      <c r="B1" s="1" t="s">
        <v>4</v>
      </c>
      <c r="C1" s="1"/>
      <c r="D1" s="1" t="s">
        <v>13</v>
      </c>
      <c r="E1" s="1" t="s">
        <v>12</v>
      </c>
      <c r="F1" s="1" t="s">
        <v>5</v>
      </c>
      <c r="G1" s="1" t="s">
        <v>6</v>
      </c>
      <c r="H1" s="1" t="s">
        <v>26</v>
      </c>
      <c r="I1" s="1" t="s">
        <v>27</v>
      </c>
      <c r="J1" s="1" t="s">
        <v>28</v>
      </c>
      <c r="K1" s="1" t="s">
        <v>10</v>
      </c>
      <c r="L1" s="1" t="s">
        <v>7</v>
      </c>
      <c r="M1" s="52" t="s">
        <v>46</v>
      </c>
      <c r="N1" s="2" t="s">
        <v>8</v>
      </c>
      <c r="O1" s="2" t="s">
        <v>24</v>
      </c>
      <c r="P1" s="2" t="s">
        <v>9</v>
      </c>
      <c r="Q1" s="50"/>
      <c r="R1" s="50"/>
    </row>
    <row r="2" spans="1:19" ht="12.75" customHeight="1" x14ac:dyDescent="0.25">
      <c r="A2" s="4">
        <v>1</v>
      </c>
      <c r="B2" s="4" t="s">
        <v>29</v>
      </c>
      <c r="C2" s="4" t="s">
        <v>45</v>
      </c>
      <c r="D2" s="4" t="s">
        <v>31</v>
      </c>
      <c r="E2" s="4">
        <v>1980</v>
      </c>
      <c r="F2" s="4">
        <v>3</v>
      </c>
      <c r="G2" s="4">
        <v>36</v>
      </c>
      <c r="H2" s="5">
        <f>H20</f>
        <v>32778</v>
      </c>
      <c r="I2" s="5">
        <v>0</v>
      </c>
      <c r="J2" s="5">
        <f>SUM(H2:I2)</f>
        <v>32778</v>
      </c>
      <c r="K2" s="5" t="s">
        <v>32</v>
      </c>
      <c r="L2" s="23">
        <f>M2/J2</f>
        <v>189.8090426505583</v>
      </c>
      <c r="M2" s="25">
        <v>6221560.7999999998</v>
      </c>
      <c r="N2" s="6">
        <f>256.756756756757*G2*12</f>
        <v>110918.91891891902</v>
      </c>
      <c r="O2" s="6">
        <v>0</v>
      </c>
      <c r="P2" s="21" t="s">
        <v>33</v>
      </c>
      <c r="Q2" s="22"/>
      <c r="R2" s="49"/>
    </row>
    <row r="3" spans="1:19" ht="12.75" customHeight="1" x14ac:dyDescent="0.25">
      <c r="A3" s="4">
        <v>2</v>
      </c>
      <c r="B3" s="4" t="s">
        <v>40</v>
      </c>
      <c r="C3" s="4" t="s">
        <v>39</v>
      </c>
      <c r="D3" s="4" t="s">
        <v>31</v>
      </c>
      <c r="E3" s="4">
        <v>1980</v>
      </c>
      <c r="F3" s="4">
        <v>3</v>
      </c>
      <c r="G3" s="4">
        <v>18</v>
      </c>
      <c r="H3" s="5">
        <f>H29</f>
        <v>16362</v>
      </c>
      <c r="I3" s="5">
        <v>0</v>
      </c>
      <c r="J3" s="5">
        <f>SUM(H3:I3)</f>
        <v>16362</v>
      </c>
      <c r="K3" s="5" t="s">
        <v>32</v>
      </c>
      <c r="L3" s="23">
        <f>M3/J3</f>
        <v>194.74521452145214</v>
      </c>
      <c r="M3" s="25">
        <v>3186421.1999999997</v>
      </c>
      <c r="N3" s="6">
        <f>256.756756756757*G3*12</f>
        <v>55459.459459459511</v>
      </c>
      <c r="O3" s="6">
        <v>0</v>
      </c>
      <c r="P3" s="21" t="s">
        <v>33</v>
      </c>
      <c r="Q3" s="22"/>
      <c r="R3" s="49"/>
      <c r="S3" s="49"/>
    </row>
    <row r="4" spans="1:19" ht="12.75" customHeight="1" x14ac:dyDescent="0.25">
      <c r="A4" s="4">
        <v>3</v>
      </c>
      <c r="B4" s="4" t="s">
        <v>41</v>
      </c>
      <c r="C4" s="4" t="s">
        <v>43</v>
      </c>
      <c r="D4" s="4" t="s">
        <v>31</v>
      </c>
      <c r="E4" s="4">
        <v>1980</v>
      </c>
      <c r="F4" s="4">
        <v>2</v>
      </c>
      <c r="G4" s="4">
        <v>8</v>
      </c>
      <c r="H4" s="5">
        <f>H37</f>
        <v>8082</v>
      </c>
      <c r="I4" s="5">
        <v>0</v>
      </c>
      <c r="J4" s="5">
        <f>SUM(H4:I4)</f>
        <v>8082</v>
      </c>
      <c r="K4" s="5" t="s">
        <v>32</v>
      </c>
      <c r="L4" s="23">
        <f>M4/J4</f>
        <v>248.45330363771342</v>
      </c>
      <c r="M4" s="25">
        <v>2007999.5999999999</v>
      </c>
      <c r="N4" s="6">
        <f>256.756756756757*G4*12</f>
        <v>24648.648648648672</v>
      </c>
      <c r="O4" s="6">
        <v>0</v>
      </c>
      <c r="P4" s="21" t="s">
        <v>33</v>
      </c>
      <c r="Q4" s="22"/>
      <c r="R4" s="49"/>
      <c r="S4" s="49"/>
    </row>
    <row r="5" spans="1:19" ht="12.75" customHeight="1" x14ac:dyDescent="0.25">
      <c r="A5" s="4">
        <v>4</v>
      </c>
      <c r="B5" s="4" t="s">
        <v>42</v>
      </c>
      <c r="C5" s="4" t="s">
        <v>44</v>
      </c>
      <c r="D5" s="4" t="s">
        <v>31</v>
      </c>
      <c r="E5" s="4">
        <v>1980</v>
      </c>
      <c r="F5" s="4">
        <v>3</v>
      </c>
      <c r="G5" s="4">
        <v>12</v>
      </c>
      <c r="H5" s="5">
        <f>H45</f>
        <v>10908</v>
      </c>
      <c r="I5" s="5">
        <v>0</v>
      </c>
      <c r="J5" s="5">
        <f>SUM(H5:I5)</f>
        <v>10908</v>
      </c>
      <c r="K5" s="5" t="s">
        <v>32</v>
      </c>
      <c r="L5" s="23">
        <f>M5/J5</f>
        <v>210.23267326732673</v>
      </c>
      <c r="M5" s="25">
        <v>2293218</v>
      </c>
      <c r="N5" s="6">
        <f>256.756756756757*G5*12</f>
        <v>36972.97297297301</v>
      </c>
      <c r="O5" s="6">
        <v>0</v>
      </c>
      <c r="P5" s="21" t="s">
        <v>33</v>
      </c>
      <c r="Q5" s="22"/>
      <c r="R5" s="49"/>
    </row>
    <row r="6" spans="1:19" ht="12.75" customHeight="1" x14ac:dyDescent="0.25">
      <c r="A6" s="4" t="s">
        <v>38</v>
      </c>
      <c r="B6" s="4" t="s">
        <v>29</v>
      </c>
      <c r="C6" s="4"/>
      <c r="D6" s="4" t="s">
        <v>31</v>
      </c>
      <c r="E6" s="4">
        <v>1980</v>
      </c>
      <c r="F6" s="4">
        <v>1</v>
      </c>
      <c r="G6" s="4">
        <v>0</v>
      </c>
      <c r="H6" s="5" t="s">
        <v>32</v>
      </c>
      <c r="I6" s="5">
        <f>1659+2292+1799+1582+1769+883+332+332+332+332</f>
        <v>11312</v>
      </c>
      <c r="J6" s="5">
        <f>SUM(H6:I6)</f>
        <v>11312</v>
      </c>
      <c r="K6" s="5" t="s">
        <v>32</v>
      </c>
      <c r="L6" s="23">
        <v>25</v>
      </c>
      <c r="M6" s="25">
        <v>339360</v>
      </c>
      <c r="N6" s="6">
        <v>0</v>
      </c>
      <c r="O6" s="6">
        <v>0</v>
      </c>
      <c r="P6" s="21" t="s">
        <v>33</v>
      </c>
      <c r="Q6" s="22"/>
    </row>
    <row r="7" spans="1:19" ht="12.75" customHeight="1" x14ac:dyDescent="0.25">
      <c r="A7" s="8"/>
      <c r="D7" s="9"/>
      <c r="E7" s="8"/>
      <c r="F7" s="7"/>
      <c r="G7" s="7"/>
      <c r="H7" s="7"/>
      <c r="I7" s="10"/>
      <c r="J7" s="10"/>
      <c r="K7" s="11"/>
      <c r="L7" s="12"/>
      <c r="N7" s="18"/>
      <c r="O7" s="18"/>
    </row>
    <row r="8" spans="1:19" x14ac:dyDescent="0.25">
      <c r="B8" s="48" t="s">
        <v>30</v>
      </c>
      <c r="C8" s="48"/>
      <c r="G8" s="13">
        <f>SUM(G2:G6)</f>
        <v>74</v>
      </c>
      <c r="H8" s="14">
        <f>SUM(H2:H6)</f>
        <v>68130</v>
      </c>
      <c r="I8" s="14">
        <f>SUM(I2:I6)</f>
        <v>11312</v>
      </c>
      <c r="J8" s="14">
        <f>SUM(J2:J6)</f>
        <v>79442</v>
      </c>
      <c r="K8" s="14"/>
      <c r="L8" s="49"/>
      <c r="M8" s="15">
        <f>SUM(M2:M7)</f>
        <v>14048559.6</v>
      </c>
      <c r="N8" s="16">
        <f>SUM(N2:N6)</f>
        <v>228000.0000000002</v>
      </c>
      <c r="O8" s="16">
        <f>SUM(O2:O6)</f>
        <v>0</v>
      </c>
    </row>
    <row r="9" spans="1:19" x14ac:dyDescent="0.25">
      <c r="A9" s="28" t="s">
        <v>1</v>
      </c>
      <c r="B9" s="67"/>
      <c r="C9" s="67"/>
      <c r="D9" s="67"/>
      <c r="G9" s="18"/>
      <c r="K9" s="19"/>
      <c r="M9" s="17"/>
    </row>
    <row r="10" spans="1:19" x14ac:dyDescent="0.25">
      <c r="B10" s="68" t="s">
        <v>3</v>
      </c>
      <c r="C10" s="68"/>
      <c r="D10" s="68"/>
      <c r="E10" s="20"/>
      <c r="M10" s="49"/>
    </row>
    <row r="11" spans="1:19" x14ac:dyDescent="0.25">
      <c r="B11" s="20"/>
      <c r="C11" s="20"/>
      <c r="D11" s="20"/>
      <c r="E11" s="20"/>
      <c r="J11"/>
      <c r="K11" s="51"/>
      <c r="L11"/>
      <c r="M11"/>
      <c r="N11"/>
    </row>
    <row r="12" spans="1:19" x14ac:dyDescent="0.25">
      <c r="A12" s="28" t="s">
        <v>2</v>
      </c>
      <c r="B12" s="69"/>
      <c r="C12" s="69"/>
      <c r="D12" s="69"/>
      <c r="H12" s="18"/>
      <c r="J12"/>
      <c r="K12"/>
      <c r="L12"/>
      <c r="M12" s="51"/>
      <c r="N12"/>
    </row>
    <row r="13" spans="1:19" x14ac:dyDescent="0.25">
      <c r="B13" s="68" t="s">
        <v>25</v>
      </c>
      <c r="C13" s="68"/>
      <c r="D13" s="68"/>
      <c r="J13"/>
      <c r="K13"/>
      <c r="L13"/>
      <c r="M13" s="51"/>
      <c r="N13" s="51"/>
      <c r="O13" s="24"/>
    </row>
    <row r="14" spans="1:19" x14ac:dyDescent="0.25">
      <c r="A14" s="8"/>
      <c r="B14" s="17"/>
      <c r="C14" s="17"/>
      <c r="J14"/>
      <c r="K14"/>
      <c r="L14"/>
      <c r="M14" s="51"/>
      <c r="N14" s="51"/>
    </row>
    <row r="15" spans="1:19" x14ac:dyDescent="0.25">
      <c r="A15" s="44" t="s">
        <v>14</v>
      </c>
      <c r="B15" s="45"/>
      <c r="C15" s="45"/>
      <c r="D15" s="45"/>
      <c r="E15" s="45"/>
      <c r="F15" s="45"/>
      <c r="G15" s="45"/>
      <c r="H15" s="46"/>
      <c r="J15"/>
      <c r="K15"/>
      <c r="L15"/>
      <c r="M15"/>
      <c r="N15" s="51"/>
    </row>
    <row r="16" spans="1:19" x14ac:dyDescent="0.25">
      <c r="A16" s="66" t="s">
        <v>34</v>
      </c>
      <c r="B16" s="29" t="s">
        <v>15</v>
      </c>
      <c r="C16" s="29"/>
      <c r="D16" s="29" t="s">
        <v>16</v>
      </c>
      <c r="E16" s="29" t="s">
        <v>17</v>
      </c>
      <c r="F16" s="29" t="s">
        <v>18</v>
      </c>
      <c r="G16" s="31"/>
      <c r="H16" s="43"/>
    </row>
    <row r="17" spans="1:13" x14ac:dyDescent="0.25">
      <c r="A17" s="66"/>
      <c r="B17" s="26" t="s">
        <v>19</v>
      </c>
      <c r="C17" s="26"/>
      <c r="D17" s="27"/>
      <c r="E17" s="27"/>
      <c r="F17" s="27">
        <v>10926</v>
      </c>
      <c r="G17" s="32"/>
      <c r="H17" s="33"/>
    </row>
    <row r="18" spans="1:13" x14ac:dyDescent="0.25">
      <c r="A18" s="30"/>
      <c r="B18" s="26" t="s">
        <v>20</v>
      </c>
      <c r="C18" s="26"/>
      <c r="D18" s="27"/>
      <c r="E18" s="27"/>
      <c r="F18" s="27">
        <v>10926</v>
      </c>
      <c r="G18" s="32"/>
      <c r="H18" s="33"/>
      <c r="M18" s="49"/>
    </row>
    <row r="19" spans="1:13" x14ac:dyDescent="0.25">
      <c r="A19" s="30"/>
      <c r="B19" s="26" t="s">
        <v>23</v>
      </c>
      <c r="C19" s="26"/>
      <c r="D19" s="27"/>
      <c r="E19" s="27"/>
      <c r="F19" s="27">
        <v>10926</v>
      </c>
      <c r="G19" s="32"/>
      <c r="H19" s="42" t="s">
        <v>22</v>
      </c>
      <c r="M19" s="49"/>
    </row>
    <row r="20" spans="1:13" x14ac:dyDescent="0.25">
      <c r="A20" s="34"/>
      <c r="B20" s="31"/>
      <c r="C20" s="31"/>
      <c r="D20" s="32">
        <f>SUM(D17:D19)</f>
        <v>0</v>
      </c>
      <c r="E20" s="32">
        <f>SUM(E17:E19)</f>
        <v>0</v>
      </c>
      <c r="F20" s="32">
        <f>SUM(F17:F19)</f>
        <v>32778</v>
      </c>
      <c r="G20" s="32"/>
      <c r="H20" s="33">
        <f>SUM(D20:G20)</f>
        <v>32778</v>
      </c>
    </row>
    <row r="21" spans="1:13" x14ac:dyDescent="0.25">
      <c r="A21" s="30"/>
      <c r="B21" s="35"/>
      <c r="C21" s="35"/>
      <c r="D21" s="35"/>
      <c r="E21" s="35"/>
      <c r="F21" s="35"/>
      <c r="G21" s="35"/>
      <c r="H21" s="36"/>
    </row>
    <row r="22" spans="1:13" x14ac:dyDescent="0.25">
      <c r="A22" s="47"/>
      <c r="B22" s="38" t="s">
        <v>21</v>
      </c>
      <c r="C22" s="38"/>
      <c r="D22" s="39">
        <f>D20/H20</f>
        <v>0</v>
      </c>
      <c r="E22" s="39">
        <f>E20/H20</f>
        <v>0</v>
      </c>
      <c r="F22" s="39">
        <f>F20/H20</f>
        <v>1</v>
      </c>
      <c r="G22" s="40"/>
      <c r="H22" s="41"/>
    </row>
    <row r="24" spans="1:13" x14ac:dyDescent="0.25">
      <c r="A24" s="44" t="s">
        <v>14</v>
      </c>
      <c r="B24" s="45"/>
      <c r="C24" s="45"/>
      <c r="D24" s="45"/>
      <c r="E24" s="45"/>
      <c r="F24" s="45"/>
      <c r="G24" s="45"/>
      <c r="H24" s="46"/>
    </row>
    <row r="25" spans="1:13" x14ac:dyDescent="0.25">
      <c r="A25" s="66" t="s">
        <v>35</v>
      </c>
      <c r="B25" s="29" t="s">
        <v>15</v>
      </c>
      <c r="C25" s="29"/>
      <c r="D25" s="29" t="s">
        <v>16</v>
      </c>
      <c r="E25" s="29" t="s">
        <v>17</v>
      </c>
      <c r="F25" s="29" t="s">
        <v>18</v>
      </c>
      <c r="G25" s="31"/>
      <c r="H25" s="43"/>
    </row>
    <row r="26" spans="1:13" x14ac:dyDescent="0.25">
      <c r="A26" s="66"/>
      <c r="B26" s="26" t="s">
        <v>19</v>
      </c>
      <c r="C26" s="26"/>
      <c r="D26" s="27"/>
      <c r="E26" s="27"/>
      <c r="F26" s="27">
        <v>5454</v>
      </c>
      <c r="G26" s="32"/>
      <c r="H26" s="33"/>
    </row>
    <row r="27" spans="1:13" x14ac:dyDescent="0.25">
      <c r="A27" s="30"/>
      <c r="B27" s="26" t="s">
        <v>20</v>
      </c>
      <c r="C27" s="26"/>
      <c r="D27" s="27"/>
      <c r="E27" s="27"/>
      <c r="F27" s="27">
        <v>5454</v>
      </c>
      <c r="G27" s="32"/>
      <c r="H27" s="33"/>
    </row>
    <row r="28" spans="1:13" x14ac:dyDescent="0.25">
      <c r="A28" s="30"/>
      <c r="B28" s="26" t="s">
        <v>23</v>
      </c>
      <c r="C28" s="26"/>
      <c r="D28" s="27"/>
      <c r="E28" s="27"/>
      <c r="F28" s="27">
        <v>5454</v>
      </c>
      <c r="G28" s="32"/>
      <c r="H28" s="42" t="s">
        <v>22</v>
      </c>
    </row>
    <row r="29" spans="1:13" x14ac:dyDescent="0.25">
      <c r="A29" s="34"/>
      <c r="B29" s="31"/>
      <c r="C29" s="31"/>
      <c r="D29" s="32">
        <f>SUM(D26:D28)</f>
        <v>0</v>
      </c>
      <c r="E29" s="32">
        <f>SUM(E26:E28)</f>
        <v>0</v>
      </c>
      <c r="F29" s="32">
        <f>SUM(F26:F28)</f>
        <v>16362</v>
      </c>
      <c r="G29" s="32"/>
      <c r="H29" s="33">
        <f>SUM(D29:G29)</f>
        <v>16362</v>
      </c>
    </row>
    <row r="30" spans="1:13" x14ac:dyDescent="0.25">
      <c r="A30" s="30"/>
      <c r="B30" s="35"/>
      <c r="C30" s="35"/>
      <c r="D30" s="35"/>
      <c r="E30" s="35"/>
      <c r="F30" s="35"/>
      <c r="G30" s="35"/>
      <c r="H30" s="36"/>
    </row>
    <row r="31" spans="1:13" x14ac:dyDescent="0.25">
      <c r="A31" s="47"/>
      <c r="B31" s="38" t="s">
        <v>21</v>
      </c>
      <c r="C31" s="38"/>
      <c r="D31" s="39">
        <f>D29/H29</f>
        <v>0</v>
      </c>
      <c r="E31" s="39">
        <f>E29/H29</f>
        <v>0</v>
      </c>
      <c r="F31" s="39">
        <f>F29/H29</f>
        <v>1</v>
      </c>
      <c r="G31" s="40"/>
      <c r="H31" s="41"/>
    </row>
    <row r="33" spans="1:12" x14ac:dyDescent="0.25">
      <c r="A33" s="44" t="s">
        <v>14</v>
      </c>
      <c r="B33" s="45"/>
      <c r="C33" s="45"/>
      <c r="D33" s="45"/>
      <c r="E33" s="45"/>
      <c r="F33" s="45"/>
      <c r="G33" s="45"/>
      <c r="H33" s="46"/>
      <c r="L33" s="3"/>
    </row>
    <row r="34" spans="1:12" x14ac:dyDescent="0.25">
      <c r="A34" s="66" t="s">
        <v>36</v>
      </c>
      <c r="B34" s="29" t="s">
        <v>15</v>
      </c>
      <c r="C34" s="29"/>
      <c r="D34" s="29" t="s">
        <v>16</v>
      </c>
      <c r="E34" s="29" t="s">
        <v>17</v>
      </c>
      <c r="F34" s="29" t="s">
        <v>18</v>
      </c>
      <c r="G34" s="31"/>
      <c r="H34" s="43"/>
      <c r="L34" s="3"/>
    </row>
    <row r="35" spans="1:12" x14ac:dyDescent="0.25">
      <c r="A35" s="66"/>
      <c r="B35" s="26" t="s">
        <v>19</v>
      </c>
      <c r="C35" s="26"/>
      <c r="D35" s="27"/>
      <c r="E35" s="27"/>
      <c r="F35" s="27">
        <v>4041</v>
      </c>
      <c r="G35" s="32"/>
      <c r="H35" s="33"/>
    </row>
    <row r="36" spans="1:12" x14ac:dyDescent="0.25">
      <c r="A36" s="30"/>
      <c r="B36" s="26" t="s">
        <v>20</v>
      </c>
      <c r="C36" s="26"/>
      <c r="D36" s="27"/>
      <c r="E36" s="27"/>
      <c r="F36" s="27">
        <v>4041</v>
      </c>
      <c r="G36" s="32"/>
      <c r="H36" s="42" t="s">
        <v>22</v>
      </c>
    </row>
    <row r="37" spans="1:12" x14ac:dyDescent="0.25">
      <c r="A37" s="30"/>
      <c r="B37" s="31"/>
      <c r="C37" s="31"/>
      <c r="D37" s="32">
        <f>SUM(D35:D36)</f>
        <v>0</v>
      </c>
      <c r="E37" s="32">
        <f>SUM(E35:E35)</f>
        <v>0</v>
      </c>
      <c r="F37" s="32">
        <f>SUM(F35:F36)</f>
        <v>8082</v>
      </c>
      <c r="G37" s="32"/>
      <c r="H37" s="33">
        <f>SUM(D37:G37)</f>
        <v>8082</v>
      </c>
    </row>
    <row r="38" spans="1:12" x14ac:dyDescent="0.25">
      <c r="A38" s="34"/>
      <c r="B38" s="35"/>
      <c r="C38" s="35"/>
      <c r="D38" s="35"/>
      <c r="E38" s="35"/>
      <c r="F38" s="35"/>
      <c r="G38" s="35"/>
      <c r="H38" s="36"/>
    </row>
    <row r="39" spans="1:12" x14ac:dyDescent="0.25">
      <c r="A39" s="37"/>
      <c r="B39" s="38" t="s">
        <v>21</v>
      </c>
      <c r="C39" s="38"/>
      <c r="D39" s="39">
        <f>D37/H37</f>
        <v>0</v>
      </c>
      <c r="E39" s="39">
        <f>E37/H37</f>
        <v>0</v>
      </c>
      <c r="F39" s="39">
        <f>F37/H37</f>
        <v>1</v>
      </c>
      <c r="G39" s="40"/>
      <c r="H39" s="41"/>
    </row>
    <row r="41" spans="1:12" x14ac:dyDescent="0.25">
      <c r="A41" s="44" t="s">
        <v>14</v>
      </c>
      <c r="B41" s="45"/>
      <c r="C41" s="45"/>
      <c r="D41" s="45"/>
      <c r="E41" s="45"/>
      <c r="F41" s="45"/>
      <c r="G41" s="45"/>
      <c r="H41" s="46"/>
      <c r="L41" s="3"/>
    </row>
    <row r="42" spans="1:12" x14ac:dyDescent="0.25">
      <c r="A42" s="66" t="s">
        <v>37</v>
      </c>
      <c r="B42" s="29" t="s">
        <v>15</v>
      </c>
      <c r="C42" s="29"/>
      <c r="D42" s="29" t="s">
        <v>16</v>
      </c>
      <c r="E42" s="29" t="s">
        <v>17</v>
      </c>
      <c r="F42" s="29" t="s">
        <v>18</v>
      </c>
      <c r="G42" s="31"/>
      <c r="H42" s="43"/>
      <c r="L42" s="3"/>
    </row>
    <row r="43" spans="1:12" x14ac:dyDescent="0.25">
      <c r="A43" s="66"/>
      <c r="B43" s="26" t="s">
        <v>19</v>
      </c>
      <c r="C43" s="26"/>
      <c r="D43" s="27"/>
      <c r="E43" s="27"/>
      <c r="F43" s="27">
        <v>5454</v>
      </c>
      <c r="G43" s="32"/>
      <c r="H43" s="33"/>
    </row>
    <row r="44" spans="1:12" x14ac:dyDescent="0.25">
      <c r="A44" s="30"/>
      <c r="B44" s="26" t="s">
        <v>20</v>
      </c>
      <c r="C44" s="26"/>
      <c r="D44" s="27"/>
      <c r="E44" s="27"/>
      <c r="F44" s="27">
        <v>5454</v>
      </c>
      <c r="G44" s="32"/>
      <c r="H44" s="42" t="s">
        <v>22</v>
      </c>
    </row>
    <row r="45" spans="1:12" x14ac:dyDescent="0.25">
      <c r="A45" s="30"/>
      <c r="B45" s="31"/>
      <c r="C45" s="31"/>
      <c r="D45" s="32">
        <f>SUM(D43:D44)</f>
        <v>0</v>
      </c>
      <c r="E45" s="32">
        <f>SUM(E43:E43)</f>
        <v>0</v>
      </c>
      <c r="F45" s="32">
        <f>SUM(F43:F44)</f>
        <v>10908</v>
      </c>
      <c r="G45" s="32"/>
      <c r="H45" s="33">
        <f>SUM(D45:G45)</f>
        <v>10908</v>
      </c>
    </row>
    <row r="46" spans="1:12" x14ac:dyDescent="0.25">
      <c r="A46" s="34"/>
      <c r="B46" s="35"/>
      <c r="C46" s="35"/>
      <c r="D46" s="35"/>
      <c r="E46" s="35"/>
      <c r="F46" s="35"/>
      <c r="G46" s="35"/>
      <c r="H46" s="36"/>
    </row>
    <row r="47" spans="1:12" x14ac:dyDescent="0.25">
      <c r="A47" s="37"/>
      <c r="B47" s="38" t="s">
        <v>21</v>
      </c>
      <c r="C47" s="38"/>
      <c r="D47" s="39">
        <f>D45/H45</f>
        <v>0</v>
      </c>
      <c r="E47" s="39">
        <f>E45/H45</f>
        <v>0</v>
      </c>
      <c r="F47" s="39">
        <f>F45/H45</f>
        <v>1</v>
      </c>
      <c r="G47" s="40"/>
      <c r="H47" s="41"/>
    </row>
  </sheetData>
  <mergeCells count="8">
    <mergeCell ref="A34:A35"/>
    <mergeCell ref="A42:A43"/>
    <mergeCell ref="B9:D9"/>
    <mergeCell ref="B10:D10"/>
    <mergeCell ref="B12:D12"/>
    <mergeCell ref="B13:D13"/>
    <mergeCell ref="A16:A17"/>
    <mergeCell ref="A25:A26"/>
  </mergeCells>
  <phoneticPr fontId="5" type="noConversion"/>
  <pageMargins left="0.75" right="0.75" top="1" bottom="1" header="0.5" footer="0.5"/>
  <pageSetup scale="57" fitToHeight="0" orientation="landscape" r:id="rId1"/>
  <headerFooter alignWithMargins="0">
    <oddHeader>&amp;C&amp;"-,Bold"&amp;14 2021 Statement of Values&amp;R&amp;"-,Regular"&amp;11The Partners Group, Ltd.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  <pageSetUpPr fitToPage="1"/>
  </sheetPr>
  <dimension ref="A1:R47"/>
  <sheetViews>
    <sheetView view="pageLayout" zoomScale="85" zoomScaleNormal="160" zoomScalePageLayoutView="85" workbookViewId="0">
      <selection activeCell="J15" sqref="J15"/>
    </sheetView>
  </sheetViews>
  <sheetFormatPr defaultRowHeight="15" x14ac:dyDescent="0.25"/>
  <cols>
    <col min="1" max="1" width="13.5703125" style="3" customWidth="1"/>
    <col min="2" max="2" width="24.140625" style="3" customWidth="1"/>
    <col min="3" max="3" width="12.5703125" style="3" customWidth="1"/>
    <col min="4" max="4" width="12.28515625" style="3" customWidth="1"/>
    <col min="5" max="5" width="11.5703125" style="3" customWidth="1"/>
    <col min="6" max="6" width="9.5703125" style="3" customWidth="1"/>
    <col min="7" max="9" width="11.7109375" style="3" customWidth="1"/>
    <col min="10" max="10" width="12.28515625" style="3" customWidth="1"/>
    <col min="11" max="11" width="11.28515625" style="17" customWidth="1"/>
    <col min="12" max="12" width="14.5703125" style="3" customWidth="1"/>
    <col min="13" max="13" width="16.140625" style="3" customWidth="1"/>
    <col min="14" max="14" width="10.140625" style="3" customWidth="1"/>
    <col min="15" max="15" width="9.140625" style="3" customWidth="1"/>
    <col min="16" max="16" width="11.28515625" style="3" bestFit="1" customWidth="1"/>
    <col min="17" max="17" width="10.28515625" style="3" customWidth="1"/>
    <col min="18" max="18" width="13" style="3" bestFit="1" customWidth="1"/>
    <col min="19" max="16384" width="9.140625" style="3"/>
  </cols>
  <sheetData>
    <row r="1" spans="1:18" ht="30" x14ac:dyDescent="0.25">
      <c r="A1" s="1" t="s">
        <v>0</v>
      </c>
      <c r="B1" s="1" t="s">
        <v>4</v>
      </c>
      <c r="C1" s="1" t="s">
        <v>13</v>
      </c>
      <c r="D1" s="1" t="s">
        <v>12</v>
      </c>
      <c r="E1" s="1" t="s">
        <v>5</v>
      </c>
      <c r="F1" s="1" t="s">
        <v>6</v>
      </c>
      <c r="G1" s="1" t="s">
        <v>26</v>
      </c>
      <c r="H1" s="1" t="s">
        <v>27</v>
      </c>
      <c r="I1" s="1" t="s">
        <v>28</v>
      </c>
      <c r="J1" s="1" t="s">
        <v>10</v>
      </c>
      <c r="K1" s="1" t="s">
        <v>7</v>
      </c>
      <c r="L1" s="1" t="s">
        <v>11</v>
      </c>
      <c r="M1" s="2" t="s">
        <v>8</v>
      </c>
      <c r="N1" s="2" t="s">
        <v>24</v>
      </c>
      <c r="O1" s="2" t="s">
        <v>9</v>
      </c>
      <c r="P1" s="50"/>
      <c r="Q1" s="50"/>
    </row>
    <row r="2" spans="1:18" ht="12.75" customHeight="1" x14ac:dyDescent="0.25">
      <c r="A2" s="4">
        <v>1</v>
      </c>
      <c r="B2" s="4" t="s">
        <v>29</v>
      </c>
      <c r="C2" s="4" t="s">
        <v>31</v>
      </c>
      <c r="D2" s="4">
        <v>1980</v>
      </c>
      <c r="E2" s="4">
        <v>3</v>
      </c>
      <c r="F2" s="4">
        <v>36</v>
      </c>
      <c r="G2" s="5">
        <f>G20</f>
        <v>32778</v>
      </c>
      <c r="H2" s="5">
        <v>0</v>
      </c>
      <c r="I2" s="5">
        <f>SUM(G2:H2)</f>
        <v>32778</v>
      </c>
      <c r="J2" s="5" t="s">
        <v>32</v>
      </c>
      <c r="K2" s="23">
        <f>L2/I2</f>
        <v>158.17420220879859</v>
      </c>
      <c r="L2" s="25">
        <v>5184634</v>
      </c>
      <c r="M2" s="6">
        <f>256.756756756757*F2*12</f>
        <v>110918.91891891902</v>
      </c>
      <c r="N2" s="6">
        <v>0</v>
      </c>
      <c r="O2" s="21" t="s">
        <v>33</v>
      </c>
      <c r="P2" s="22"/>
      <c r="Q2" s="49"/>
    </row>
    <row r="3" spans="1:18" ht="12.75" customHeight="1" x14ac:dyDescent="0.25">
      <c r="A3" s="4">
        <v>2</v>
      </c>
      <c r="B3" s="4" t="s">
        <v>40</v>
      </c>
      <c r="C3" s="4" t="s">
        <v>31</v>
      </c>
      <c r="D3" s="4">
        <v>1980</v>
      </c>
      <c r="E3" s="4">
        <v>3</v>
      </c>
      <c r="F3" s="4">
        <v>18</v>
      </c>
      <c r="G3" s="5">
        <f>G29</f>
        <v>16362</v>
      </c>
      <c r="H3" s="5">
        <v>0</v>
      </c>
      <c r="I3" s="5">
        <f>SUM(G3:H3)</f>
        <v>16362</v>
      </c>
      <c r="J3" s="5" t="s">
        <v>32</v>
      </c>
      <c r="K3" s="23">
        <f>L3/I3</f>
        <v>162.2876787678768</v>
      </c>
      <c r="L3" s="25">
        <v>2655351</v>
      </c>
      <c r="M3" s="6">
        <f>256.756756756757*F3*12</f>
        <v>55459.459459459511</v>
      </c>
      <c r="N3" s="6">
        <v>0</v>
      </c>
      <c r="O3" s="21" t="s">
        <v>33</v>
      </c>
      <c r="P3" s="22"/>
      <c r="Q3" s="49"/>
      <c r="R3" s="49"/>
    </row>
    <row r="4" spans="1:18" ht="12.75" customHeight="1" x14ac:dyDescent="0.25">
      <c r="A4" s="4">
        <v>3</v>
      </c>
      <c r="B4" s="4" t="s">
        <v>41</v>
      </c>
      <c r="C4" s="4" t="s">
        <v>31</v>
      </c>
      <c r="D4" s="4">
        <v>1980</v>
      </c>
      <c r="E4" s="4">
        <v>2</v>
      </c>
      <c r="F4" s="4">
        <v>8</v>
      </c>
      <c r="G4" s="5">
        <f>G37</f>
        <v>8082</v>
      </c>
      <c r="H4" s="5">
        <v>0</v>
      </c>
      <c r="I4" s="5">
        <f>SUM(G4:H4)</f>
        <v>8082</v>
      </c>
      <c r="J4" s="5" t="s">
        <v>32</v>
      </c>
      <c r="K4" s="23">
        <f>L4/I4</f>
        <v>207.04441969809454</v>
      </c>
      <c r="L4" s="25">
        <v>1673333</v>
      </c>
      <c r="M4" s="6">
        <f>256.756756756757*F4*12</f>
        <v>24648.648648648672</v>
      </c>
      <c r="N4" s="6">
        <v>0</v>
      </c>
      <c r="O4" s="21" t="s">
        <v>33</v>
      </c>
      <c r="P4" s="22"/>
      <c r="Q4" s="49"/>
      <c r="R4" s="49"/>
    </row>
    <row r="5" spans="1:18" ht="12.75" customHeight="1" x14ac:dyDescent="0.25">
      <c r="A5" s="4">
        <v>4</v>
      </c>
      <c r="B5" s="4" t="s">
        <v>42</v>
      </c>
      <c r="C5" s="4" t="s">
        <v>31</v>
      </c>
      <c r="D5" s="4">
        <v>1980</v>
      </c>
      <c r="E5" s="4">
        <v>3</v>
      </c>
      <c r="F5" s="4">
        <v>12</v>
      </c>
      <c r="G5" s="5">
        <f>G45</f>
        <v>10908</v>
      </c>
      <c r="H5" s="5">
        <v>0</v>
      </c>
      <c r="I5" s="5">
        <f>SUM(G5:H5)</f>
        <v>10908</v>
      </c>
      <c r="J5" s="5" t="s">
        <v>32</v>
      </c>
      <c r="K5" s="23">
        <f>L5/I5</f>
        <v>175.19389438943895</v>
      </c>
      <c r="L5" s="25">
        <v>1911015</v>
      </c>
      <c r="M5" s="6">
        <f>256.756756756757*F5*12</f>
        <v>36972.97297297301</v>
      </c>
      <c r="N5" s="6">
        <v>0</v>
      </c>
      <c r="O5" s="21" t="s">
        <v>33</v>
      </c>
      <c r="P5" s="22"/>
      <c r="Q5" s="49"/>
    </row>
    <row r="6" spans="1:18" ht="12.75" customHeight="1" x14ac:dyDescent="0.25">
      <c r="A6" s="4" t="s">
        <v>38</v>
      </c>
      <c r="B6" s="4" t="s">
        <v>29</v>
      </c>
      <c r="C6" s="4" t="s">
        <v>31</v>
      </c>
      <c r="D6" s="4">
        <v>1980</v>
      </c>
      <c r="E6" s="4">
        <v>1</v>
      </c>
      <c r="F6" s="4">
        <v>0</v>
      </c>
      <c r="G6" s="5" t="s">
        <v>32</v>
      </c>
      <c r="H6" s="5">
        <f>1659+2292+1799+1582+1769+883+332+332+332+332</f>
        <v>11312</v>
      </c>
      <c r="I6" s="5">
        <f>SUM(G6:H6)</f>
        <v>11312</v>
      </c>
      <c r="J6" s="5" t="s">
        <v>32</v>
      </c>
      <c r="K6" s="23">
        <v>25</v>
      </c>
      <c r="L6" s="25">
        <f>I6*K6</f>
        <v>282800</v>
      </c>
      <c r="M6" s="6">
        <v>0</v>
      </c>
      <c r="N6" s="6">
        <v>0</v>
      </c>
      <c r="O6" s="21" t="s">
        <v>33</v>
      </c>
      <c r="P6" s="22"/>
    </row>
    <row r="7" spans="1:18" ht="12.75" customHeight="1" x14ac:dyDescent="0.25">
      <c r="A7" s="8"/>
      <c r="C7" s="9"/>
      <c r="D7" s="8"/>
      <c r="E7" s="7"/>
      <c r="F7" s="7"/>
      <c r="G7" s="7"/>
      <c r="H7" s="10"/>
      <c r="I7" s="10"/>
      <c r="J7" s="11"/>
      <c r="K7" s="12"/>
      <c r="M7" s="18"/>
      <c r="N7" s="18"/>
    </row>
    <row r="8" spans="1:18" x14ac:dyDescent="0.25">
      <c r="B8" s="48" t="s">
        <v>30</v>
      </c>
      <c r="F8" s="13">
        <f>SUM(F2:F6)</f>
        <v>74</v>
      </c>
      <c r="G8" s="14">
        <f>SUM(G2:G6)</f>
        <v>68130</v>
      </c>
      <c r="H8" s="14">
        <f>SUM(H2:H6)</f>
        <v>11312</v>
      </c>
      <c r="I8" s="14">
        <f>SUM(I2:I6)</f>
        <v>79442</v>
      </c>
      <c r="J8" s="14"/>
      <c r="K8" s="49"/>
      <c r="L8" s="15">
        <f>SUM(L2:L6)</f>
        <v>11707133</v>
      </c>
      <c r="M8" s="16">
        <f>SUM(M2:M6)</f>
        <v>228000.0000000002</v>
      </c>
      <c r="N8" s="16">
        <f>SUM(N2:N6)</f>
        <v>0</v>
      </c>
    </row>
    <row r="9" spans="1:18" x14ac:dyDescent="0.25">
      <c r="A9" s="28" t="s">
        <v>1</v>
      </c>
      <c r="B9" s="67"/>
      <c r="C9" s="67"/>
      <c r="F9" s="18"/>
      <c r="J9" s="19"/>
      <c r="L9" s="17"/>
    </row>
    <row r="10" spans="1:18" x14ac:dyDescent="0.25">
      <c r="B10" s="68" t="s">
        <v>3</v>
      </c>
      <c r="C10" s="68"/>
      <c r="D10" s="20"/>
    </row>
    <row r="11" spans="1:18" x14ac:dyDescent="0.25">
      <c r="B11" s="20"/>
      <c r="C11" s="20"/>
      <c r="D11" s="20"/>
      <c r="I11"/>
      <c r="J11" s="51"/>
      <c r="K11"/>
      <c r="L11"/>
      <c r="M11"/>
    </row>
    <row r="12" spans="1:18" x14ac:dyDescent="0.25">
      <c r="A12" s="28" t="s">
        <v>2</v>
      </c>
      <c r="B12" s="69"/>
      <c r="C12" s="69"/>
      <c r="G12" s="18"/>
      <c r="I12"/>
      <c r="J12"/>
      <c r="K12"/>
      <c r="L12"/>
      <c r="M12"/>
    </row>
    <row r="13" spans="1:18" x14ac:dyDescent="0.25">
      <c r="B13" s="68" t="s">
        <v>25</v>
      </c>
      <c r="C13" s="68"/>
      <c r="I13"/>
      <c r="J13"/>
      <c r="K13"/>
      <c r="L13" s="51"/>
      <c r="M13" s="51"/>
      <c r="N13" s="24"/>
    </row>
    <row r="14" spans="1:18" x14ac:dyDescent="0.25">
      <c r="A14" s="8"/>
      <c r="B14" s="17"/>
      <c r="I14"/>
      <c r="J14"/>
      <c r="K14"/>
      <c r="L14" s="51"/>
      <c r="M14" s="51"/>
    </row>
    <row r="15" spans="1:18" x14ac:dyDescent="0.25">
      <c r="A15" s="44" t="s">
        <v>14</v>
      </c>
      <c r="B15" s="45"/>
      <c r="C15" s="45"/>
      <c r="D15" s="45"/>
      <c r="E15" s="45"/>
      <c r="F15" s="45"/>
      <c r="G15" s="46"/>
      <c r="I15"/>
      <c r="J15"/>
      <c r="K15"/>
      <c r="L15"/>
      <c r="M15" s="51"/>
    </row>
    <row r="16" spans="1:18" x14ac:dyDescent="0.25">
      <c r="A16" s="66" t="s">
        <v>34</v>
      </c>
      <c r="B16" s="29" t="s">
        <v>15</v>
      </c>
      <c r="C16" s="29" t="s">
        <v>16</v>
      </c>
      <c r="D16" s="29" t="s">
        <v>17</v>
      </c>
      <c r="E16" s="29" t="s">
        <v>18</v>
      </c>
      <c r="F16" s="31"/>
      <c r="G16" s="43"/>
    </row>
    <row r="17" spans="1:12" x14ac:dyDescent="0.25">
      <c r="A17" s="66"/>
      <c r="B17" s="26" t="s">
        <v>19</v>
      </c>
      <c r="C17" s="27"/>
      <c r="D17" s="27"/>
      <c r="E17" s="27">
        <v>10926</v>
      </c>
      <c r="F17" s="32"/>
      <c r="G17" s="33"/>
    </row>
    <row r="18" spans="1:12" x14ac:dyDescent="0.25">
      <c r="A18" s="30"/>
      <c r="B18" s="26" t="s">
        <v>20</v>
      </c>
      <c r="C18" s="27"/>
      <c r="D18" s="27"/>
      <c r="E18" s="27">
        <v>10926</v>
      </c>
      <c r="F18" s="32"/>
      <c r="G18" s="33"/>
      <c r="L18" s="49"/>
    </row>
    <row r="19" spans="1:12" x14ac:dyDescent="0.25">
      <c r="A19" s="30"/>
      <c r="B19" s="26" t="s">
        <v>23</v>
      </c>
      <c r="C19" s="27"/>
      <c r="D19" s="27"/>
      <c r="E19" s="27">
        <v>10926</v>
      </c>
      <c r="F19" s="32"/>
      <c r="G19" s="42" t="s">
        <v>22</v>
      </c>
      <c r="L19" s="49"/>
    </row>
    <row r="20" spans="1:12" x14ac:dyDescent="0.25">
      <c r="A20" s="34"/>
      <c r="B20" s="31"/>
      <c r="C20" s="32">
        <f>SUM(C17:C19)</f>
        <v>0</v>
      </c>
      <c r="D20" s="32">
        <f>SUM(D17:D19)</f>
        <v>0</v>
      </c>
      <c r="E20" s="32">
        <f>SUM(E17:E19)</f>
        <v>32778</v>
      </c>
      <c r="F20" s="32"/>
      <c r="G20" s="33">
        <f>SUM(C20:F20)</f>
        <v>32778</v>
      </c>
    </row>
    <row r="21" spans="1:12" x14ac:dyDescent="0.25">
      <c r="A21" s="30"/>
      <c r="B21" s="35"/>
      <c r="C21" s="35"/>
      <c r="D21" s="35"/>
      <c r="E21" s="35"/>
      <c r="F21" s="35"/>
      <c r="G21" s="36"/>
    </row>
    <row r="22" spans="1:12" x14ac:dyDescent="0.25">
      <c r="A22" s="47"/>
      <c r="B22" s="38" t="s">
        <v>21</v>
      </c>
      <c r="C22" s="39">
        <f>C20/G20</f>
        <v>0</v>
      </c>
      <c r="D22" s="39">
        <f>D20/G20</f>
        <v>0</v>
      </c>
      <c r="E22" s="39">
        <f>E20/G20</f>
        <v>1</v>
      </c>
      <c r="F22" s="40"/>
      <c r="G22" s="41"/>
    </row>
    <row r="24" spans="1:12" x14ac:dyDescent="0.25">
      <c r="A24" s="44" t="s">
        <v>14</v>
      </c>
      <c r="B24" s="45"/>
      <c r="C24" s="45"/>
      <c r="D24" s="45"/>
      <c r="E24" s="45"/>
      <c r="F24" s="45"/>
      <c r="G24" s="46"/>
    </row>
    <row r="25" spans="1:12" x14ac:dyDescent="0.25">
      <c r="A25" s="66" t="s">
        <v>35</v>
      </c>
      <c r="B25" s="29" t="s">
        <v>15</v>
      </c>
      <c r="C25" s="29" t="s">
        <v>16</v>
      </c>
      <c r="D25" s="29" t="s">
        <v>17</v>
      </c>
      <c r="E25" s="29" t="s">
        <v>18</v>
      </c>
      <c r="F25" s="31"/>
      <c r="G25" s="43"/>
    </row>
    <row r="26" spans="1:12" x14ac:dyDescent="0.25">
      <c r="A26" s="66"/>
      <c r="B26" s="26" t="s">
        <v>19</v>
      </c>
      <c r="C26" s="27"/>
      <c r="D26" s="27"/>
      <c r="E26" s="27">
        <v>5454</v>
      </c>
      <c r="F26" s="32"/>
      <c r="G26" s="33"/>
    </row>
    <row r="27" spans="1:12" x14ac:dyDescent="0.25">
      <c r="A27" s="30"/>
      <c r="B27" s="26" t="s">
        <v>20</v>
      </c>
      <c r="C27" s="27"/>
      <c r="D27" s="27"/>
      <c r="E27" s="27">
        <v>5454</v>
      </c>
      <c r="F27" s="32"/>
      <c r="G27" s="33"/>
    </row>
    <row r="28" spans="1:12" x14ac:dyDescent="0.25">
      <c r="A28" s="30"/>
      <c r="B28" s="26" t="s">
        <v>23</v>
      </c>
      <c r="C28" s="27"/>
      <c r="D28" s="27"/>
      <c r="E28" s="27">
        <v>5454</v>
      </c>
      <c r="F28" s="32"/>
      <c r="G28" s="42" t="s">
        <v>22</v>
      </c>
    </row>
    <row r="29" spans="1:12" x14ac:dyDescent="0.25">
      <c r="A29" s="34"/>
      <c r="B29" s="31"/>
      <c r="C29" s="32">
        <f>SUM(C26:C28)</f>
        <v>0</v>
      </c>
      <c r="D29" s="32">
        <f>SUM(D26:D28)</f>
        <v>0</v>
      </c>
      <c r="E29" s="32">
        <f>SUM(E26:E28)</f>
        <v>16362</v>
      </c>
      <c r="F29" s="32"/>
      <c r="G29" s="33">
        <f>SUM(C29:F29)</f>
        <v>16362</v>
      </c>
    </row>
    <row r="30" spans="1:12" x14ac:dyDescent="0.25">
      <c r="A30" s="30"/>
      <c r="B30" s="35"/>
      <c r="C30" s="35"/>
      <c r="D30" s="35"/>
      <c r="E30" s="35"/>
      <c r="F30" s="35"/>
      <c r="G30" s="36"/>
    </row>
    <row r="31" spans="1:12" x14ac:dyDescent="0.25">
      <c r="A31" s="47"/>
      <c r="B31" s="38" t="s">
        <v>21</v>
      </c>
      <c r="C31" s="39">
        <f>C29/G29</f>
        <v>0</v>
      </c>
      <c r="D31" s="39">
        <f>D29/G29</f>
        <v>0</v>
      </c>
      <c r="E31" s="39">
        <f>E29/G29</f>
        <v>1</v>
      </c>
      <c r="F31" s="40"/>
      <c r="G31" s="41"/>
    </row>
    <row r="33" spans="1:11" x14ac:dyDescent="0.25">
      <c r="A33" s="44" t="s">
        <v>14</v>
      </c>
      <c r="B33" s="45"/>
      <c r="C33" s="45"/>
      <c r="D33" s="45"/>
      <c r="E33" s="45"/>
      <c r="F33" s="45"/>
      <c r="G33" s="46"/>
      <c r="K33" s="3"/>
    </row>
    <row r="34" spans="1:11" x14ac:dyDescent="0.25">
      <c r="A34" s="66" t="s">
        <v>36</v>
      </c>
      <c r="B34" s="29" t="s">
        <v>15</v>
      </c>
      <c r="C34" s="29" t="s">
        <v>16</v>
      </c>
      <c r="D34" s="29" t="s">
        <v>17</v>
      </c>
      <c r="E34" s="29" t="s">
        <v>18</v>
      </c>
      <c r="F34" s="31"/>
      <c r="G34" s="43"/>
      <c r="K34" s="3"/>
    </row>
    <row r="35" spans="1:11" x14ac:dyDescent="0.25">
      <c r="A35" s="66"/>
      <c r="B35" s="26" t="s">
        <v>19</v>
      </c>
      <c r="C35" s="27"/>
      <c r="D35" s="27"/>
      <c r="E35" s="27">
        <v>4041</v>
      </c>
      <c r="F35" s="32"/>
      <c r="G35" s="33"/>
    </row>
    <row r="36" spans="1:11" x14ac:dyDescent="0.25">
      <c r="A36" s="30"/>
      <c r="B36" s="26" t="s">
        <v>20</v>
      </c>
      <c r="C36" s="27"/>
      <c r="D36" s="27"/>
      <c r="E36" s="27">
        <v>4041</v>
      </c>
      <c r="F36" s="32"/>
      <c r="G36" s="42" t="s">
        <v>22</v>
      </c>
    </row>
    <row r="37" spans="1:11" x14ac:dyDescent="0.25">
      <c r="A37" s="30"/>
      <c r="B37" s="31"/>
      <c r="C37" s="32">
        <f>SUM(C35:C36)</f>
        <v>0</v>
      </c>
      <c r="D37" s="32">
        <f>SUM(D35:D35)</f>
        <v>0</v>
      </c>
      <c r="E37" s="32">
        <f>SUM(E35:E36)</f>
        <v>8082</v>
      </c>
      <c r="F37" s="32"/>
      <c r="G37" s="33">
        <f>SUM(C37:F37)</f>
        <v>8082</v>
      </c>
    </row>
    <row r="38" spans="1:11" x14ac:dyDescent="0.25">
      <c r="A38" s="34"/>
      <c r="B38" s="35"/>
      <c r="C38" s="35"/>
      <c r="D38" s="35"/>
      <c r="E38" s="35"/>
      <c r="F38" s="35"/>
      <c r="G38" s="36"/>
    </row>
    <row r="39" spans="1:11" x14ac:dyDescent="0.25">
      <c r="A39" s="37"/>
      <c r="B39" s="38" t="s">
        <v>21</v>
      </c>
      <c r="C39" s="39">
        <f>C37/G37</f>
        <v>0</v>
      </c>
      <c r="D39" s="39">
        <f>D37/G37</f>
        <v>0</v>
      </c>
      <c r="E39" s="39">
        <f>E37/G37</f>
        <v>1</v>
      </c>
      <c r="F39" s="40"/>
      <c r="G39" s="41"/>
    </row>
    <row r="41" spans="1:11" x14ac:dyDescent="0.25">
      <c r="A41" s="44" t="s">
        <v>14</v>
      </c>
      <c r="B41" s="45"/>
      <c r="C41" s="45"/>
      <c r="D41" s="45"/>
      <c r="E41" s="45"/>
      <c r="F41" s="45"/>
      <c r="G41" s="46"/>
      <c r="K41" s="3"/>
    </row>
    <row r="42" spans="1:11" x14ac:dyDescent="0.25">
      <c r="A42" s="66" t="s">
        <v>37</v>
      </c>
      <c r="B42" s="29" t="s">
        <v>15</v>
      </c>
      <c r="C42" s="29" t="s">
        <v>16</v>
      </c>
      <c r="D42" s="29" t="s">
        <v>17</v>
      </c>
      <c r="E42" s="29" t="s">
        <v>18</v>
      </c>
      <c r="F42" s="31"/>
      <c r="G42" s="43"/>
      <c r="K42" s="3"/>
    </row>
    <row r="43" spans="1:11" x14ac:dyDescent="0.25">
      <c r="A43" s="66"/>
      <c r="B43" s="26" t="s">
        <v>19</v>
      </c>
      <c r="C43" s="27"/>
      <c r="D43" s="27"/>
      <c r="E43" s="27">
        <v>5454</v>
      </c>
      <c r="F43" s="32"/>
      <c r="G43" s="33"/>
    </row>
    <row r="44" spans="1:11" x14ac:dyDescent="0.25">
      <c r="A44" s="30"/>
      <c r="B44" s="26" t="s">
        <v>20</v>
      </c>
      <c r="C44" s="27"/>
      <c r="D44" s="27"/>
      <c r="E44" s="27">
        <v>5454</v>
      </c>
      <c r="F44" s="32"/>
      <c r="G44" s="42" t="s">
        <v>22</v>
      </c>
    </row>
    <row r="45" spans="1:11" x14ac:dyDescent="0.25">
      <c r="A45" s="30"/>
      <c r="B45" s="31"/>
      <c r="C45" s="32">
        <f>SUM(C43:C44)</f>
        <v>0</v>
      </c>
      <c r="D45" s="32">
        <f>SUM(D43:D43)</f>
        <v>0</v>
      </c>
      <c r="E45" s="32">
        <f>SUM(E43:E44)</f>
        <v>10908</v>
      </c>
      <c r="F45" s="32"/>
      <c r="G45" s="33">
        <f>SUM(C45:F45)</f>
        <v>10908</v>
      </c>
    </row>
    <row r="46" spans="1:11" x14ac:dyDescent="0.25">
      <c r="A46" s="34"/>
      <c r="B46" s="35"/>
      <c r="C46" s="35"/>
      <c r="D46" s="35"/>
      <c r="E46" s="35"/>
      <c r="F46" s="35"/>
      <c r="G46" s="36"/>
    </row>
    <row r="47" spans="1:11" x14ac:dyDescent="0.25">
      <c r="A47" s="37"/>
      <c r="B47" s="38" t="s">
        <v>21</v>
      </c>
      <c r="C47" s="39">
        <f>C45/G45</f>
        <v>0</v>
      </c>
      <c r="D47" s="39">
        <f>D45/G45</f>
        <v>0</v>
      </c>
      <c r="E47" s="39">
        <f>E45/G45</f>
        <v>1</v>
      </c>
      <c r="F47" s="40"/>
      <c r="G47" s="41"/>
    </row>
  </sheetData>
  <mergeCells count="8">
    <mergeCell ref="B9:C9"/>
    <mergeCell ref="A16:A17"/>
    <mergeCell ref="A42:A43"/>
    <mergeCell ref="A34:A35"/>
    <mergeCell ref="A25:A26"/>
    <mergeCell ref="B10:C10"/>
    <mergeCell ref="B13:C13"/>
    <mergeCell ref="B12:C12"/>
  </mergeCells>
  <pageMargins left="0.75" right="0.75" top="1" bottom="1" header="0.5" footer="0.5"/>
  <pageSetup scale="64" fitToHeight="0" orientation="landscape" r:id="rId1"/>
  <headerFooter alignWithMargins="0">
    <oddHeader>&amp;C&amp;"-,Bold"&amp;14 2021 Statement of Values&amp;R&amp;"-,Regular"&amp;11The Partners Group, Ltd.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168A358838B540911622A3BFBD073B" ma:contentTypeVersion="15" ma:contentTypeDescription="Create a new document." ma:contentTypeScope="" ma:versionID="24916f7b79557388a4d826735212196c">
  <xsd:schema xmlns:xsd="http://www.w3.org/2001/XMLSchema" xmlns:xs="http://www.w3.org/2001/XMLSchema" xmlns:p="http://schemas.microsoft.com/office/2006/metadata/properties" xmlns:ns2="470779bc-cfec-46e0-a3c9-6c0e0de2e85f" xmlns:ns3="5d98ee10-eba0-4365-b931-a0579a53de9b" targetNamespace="http://schemas.microsoft.com/office/2006/metadata/properties" ma:root="true" ma:fieldsID="197c369eb1c6658ae7bdbab5b759daca" ns2:_="" ns3:_="">
    <xsd:import namespace="470779bc-cfec-46e0-a3c9-6c0e0de2e85f"/>
    <xsd:import namespace="5d98ee10-eba0-4365-b931-a0579a53de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779bc-cfec-46e0-a3c9-6c0e0de2e8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6bd47ce-e9e9-4328-a1d2-2c880a06a8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8ee10-eba0-4365-b931-a0579a53de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c6d89b0-73e4-4170-9e9d-1df129497587}" ma:internalName="TaxCatchAll" ma:showField="CatchAllData" ma:web="5d98ee10-eba0-4365-b931-a0579a53de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98ee10-eba0-4365-b931-a0579a53de9b" xsi:nil="true"/>
    <lcf76f155ced4ddcb4097134ff3c332f xmlns="470779bc-cfec-46e0-a3c9-6c0e0de2e85f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97F020-2BCD-40BA-A07A-8AA96362FE28}"/>
</file>

<file path=customXml/itemProps2.xml><?xml version="1.0" encoding="utf-8"?>
<ds:datastoreItem xmlns:ds="http://schemas.openxmlformats.org/officeDocument/2006/customXml" ds:itemID="{F7B99D1A-72DC-48F8-95B4-EF9DD164DA64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2DA7C4B-E8F1-44E3-96E7-642AD9042A74}">
  <ds:schemaRefs>
    <ds:schemaRef ds:uri="43b3f6d5-9047-45f1-8533-17958ba77207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5d98ee10-eba0-4365-b931-a0579a53de9b"/>
    <ds:schemaRef ds:uri="http://purl.org/dc/dcmitype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DB5C0FD5-3EE7-4DC8-9239-D1271C3FC8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 EQ</vt:lpstr>
      <vt:lpstr>2024</vt:lpstr>
      <vt:lpstr>2023 Pkg</vt:lpstr>
      <vt:lpstr>2022 EARTHQUAKE</vt:lpstr>
      <vt:lpstr>2022 PACKAGE</vt:lpstr>
      <vt:lpstr>2021 EARTHQUAKE</vt:lpstr>
      <vt:lpstr>2021 PACKAGE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Howell</dc:creator>
  <cp:lastModifiedBy>Kacie Salois</cp:lastModifiedBy>
  <cp:lastPrinted>2024-09-03T23:01:24Z</cp:lastPrinted>
  <dcterms:created xsi:type="dcterms:W3CDTF">2005-07-06T22:32:45Z</dcterms:created>
  <dcterms:modified xsi:type="dcterms:W3CDTF">2024-09-25T17:40:50Z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Jake Gosline</vt:lpwstr>
  </property>
  <property fmtid="{D5CDD505-2E9C-101B-9397-08002B2CF9AE}" pid="3" name="Order">
    <vt:lpwstr>1682000.00000000</vt:lpwstr>
  </property>
  <property fmtid="{D5CDD505-2E9C-101B-9397-08002B2CF9AE}" pid="4" name="display_urn:schemas-microsoft-com:office:office#Author">
    <vt:lpwstr>Jake Gosline</vt:lpwstr>
  </property>
  <property fmtid="{D5CDD505-2E9C-101B-9397-08002B2CF9AE}" pid="5" name="MediaServiceImageTags">
    <vt:lpwstr/>
  </property>
  <property fmtid="{D5CDD505-2E9C-101B-9397-08002B2CF9AE}" pid="6" name="ContentTypeId">
    <vt:lpwstr>0x010100E6168A358838B540911622A3BFBD073B</vt:lpwstr>
  </property>
</Properties>
</file>