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pgrp.sharepoint.com/sites/CondoRoom/CommunityAssociationClientFiles/Issaquah Village/"/>
    </mc:Choice>
  </mc:AlternateContent>
  <xr:revisionPtr revIDLastSave="223" documentId="8_{834231B8-98E2-4B72-9A23-324051220F57}" xr6:coauthVersionLast="47" xr6:coauthVersionMax="47" xr10:uidLastSave="{12750406-5A79-46D5-A6C2-901419E24FC9}"/>
  <bookViews>
    <workbookView xWindow="25080" yWindow="-120" windowWidth="25440" windowHeight="15270" xr2:uid="{00000000-000D-0000-FFFF-FFFF00000000}"/>
  </bookViews>
  <sheets>
    <sheet name="2025" sheetId="7" r:id="rId1"/>
    <sheet name="2024" sheetId="6" r:id="rId2"/>
  </sheets>
  <definedNames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38976.5293402778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Z_SCORE" hidden="1">"c1339"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7" l="1"/>
  <c r="P18" i="7" s="1"/>
  <c r="P4" i="7"/>
  <c r="P5" i="7"/>
  <c r="P6" i="7"/>
  <c r="P2" i="7"/>
  <c r="Q18" i="7"/>
  <c r="K18" i="7"/>
  <c r="J18" i="7"/>
  <c r="I18" i="7"/>
  <c r="O16" i="7"/>
  <c r="L16" i="7"/>
  <c r="O15" i="7"/>
  <c r="L15" i="7"/>
  <c r="O14" i="7"/>
  <c r="L14" i="7"/>
  <c r="O13" i="7"/>
  <c r="L13" i="7"/>
  <c r="L12" i="7"/>
  <c r="O12" i="7" s="1"/>
  <c r="L11" i="7"/>
  <c r="O11" i="7" s="1"/>
  <c r="O10" i="7"/>
  <c r="L10" i="7"/>
  <c r="O9" i="7"/>
  <c r="L9" i="7"/>
  <c r="L8" i="7"/>
  <c r="O8" i="7" s="1"/>
  <c r="J7" i="7"/>
  <c r="L7" i="7" s="1"/>
  <c r="O7" i="7" s="1"/>
  <c r="J6" i="7"/>
  <c r="L6" i="7" s="1"/>
  <c r="O6" i="7" s="1"/>
  <c r="L5" i="7"/>
  <c r="O5" i="7" s="1"/>
  <c r="J5" i="7"/>
  <c r="J4" i="7"/>
  <c r="L4" i="7" s="1"/>
  <c r="O4" i="7" s="1"/>
  <c r="J3" i="7"/>
  <c r="L3" i="7" s="1"/>
  <c r="L2" i="7"/>
  <c r="O2" i="7" s="1"/>
  <c r="J2" i="7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L18" i="7" l="1"/>
  <c r="O3" i="7"/>
  <c r="O18" i="7" s="1"/>
  <c r="P7" i="6"/>
  <c r="P6" i="6"/>
  <c r="P5" i="6"/>
  <c r="P4" i="6"/>
  <c r="P3" i="6"/>
  <c r="P2" i="6"/>
  <c r="J7" i="6" l="1"/>
  <c r="L7" i="6" s="1"/>
  <c r="J6" i="6"/>
  <c r="L6" i="6" s="1"/>
  <c r="J5" i="6"/>
  <c r="L5" i="6" s="1"/>
  <c r="J4" i="6"/>
  <c r="L4" i="6" s="1"/>
  <c r="J3" i="6"/>
  <c r="J2" i="6"/>
  <c r="L2" i="6" s="1"/>
  <c r="L3" i="6"/>
  <c r="L8" i="6"/>
  <c r="L9" i="6"/>
  <c r="L10" i="6"/>
  <c r="L11" i="6"/>
  <c r="L12" i="6"/>
  <c r="L13" i="6"/>
  <c r="L14" i="6"/>
  <c r="L15" i="6"/>
  <c r="L16" i="6"/>
  <c r="Q18" i="6"/>
  <c r="I18" i="6"/>
  <c r="P18" i="6"/>
  <c r="K18" i="6"/>
  <c r="J18" i="6" l="1"/>
  <c r="L18" i="6"/>
  <c r="O18" i="6"/>
</calcChain>
</file>

<file path=xl/sharedStrings.xml><?xml version="1.0" encoding="utf-8"?>
<sst xmlns="http://schemas.openxmlformats.org/spreadsheetml/2006/main" count="230" uniqueCount="39">
  <si>
    <t>Building</t>
  </si>
  <si>
    <t>Signature:</t>
  </si>
  <si>
    <t>Date:</t>
  </si>
  <si>
    <t>Property Manager</t>
  </si>
  <si>
    <t>Address</t>
  </si>
  <si>
    <t>Stories</t>
  </si>
  <si>
    <t>Units</t>
  </si>
  <si>
    <t>MSB $ Per Sq Ft</t>
  </si>
  <si>
    <t>Annual Dues</t>
  </si>
  <si>
    <t>Garage Type</t>
  </si>
  <si>
    <t xml:space="preserve">Building Value </t>
  </si>
  <si>
    <t>Year Built</t>
  </si>
  <si>
    <t>Construction</t>
  </si>
  <si>
    <t>BPP</t>
  </si>
  <si>
    <t>Date</t>
  </si>
  <si>
    <t>Percent Rented:</t>
  </si>
  <si>
    <t>Residential Sq Ft</t>
  </si>
  <si>
    <t>Garage Sq Ft</t>
  </si>
  <si>
    <t>Total Sq Ft</t>
  </si>
  <si>
    <t>Fire Sprinklers?</t>
  </si>
  <si>
    <t>HW Smoke Detectors?</t>
  </si>
  <si>
    <t>CS Fire Alarms?</t>
  </si>
  <si>
    <t>Notable GL Exposures:</t>
  </si>
  <si>
    <t>755 5th Avenue Northwest</t>
  </si>
  <si>
    <t>Carport 1</t>
  </si>
  <si>
    <t>Carport 2</t>
  </si>
  <si>
    <t>Carport 3</t>
  </si>
  <si>
    <t>Carport 4</t>
  </si>
  <si>
    <t>Carport 5</t>
  </si>
  <si>
    <t>Carport 6</t>
  </si>
  <si>
    <t>Carport 7</t>
  </si>
  <si>
    <t>Carport 8</t>
  </si>
  <si>
    <t>Carport 9</t>
  </si>
  <si>
    <t>Frame</t>
  </si>
  <si>
    <t>No</t>
  </si>
  <si>
    <t>none</t>
  </si>
  <si>
    <t>carport</t>
  </si>
  <si>
    <t>Issaquah WA 98027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</si>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</sst>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#,##0.000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3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5" fontId="5" fillId="0" borderId="1" xfId="1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5" fontId="5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3" applyNumberFormat="1" applyFont="1" applyAlignment="1">
      <alignment horizontal="center"/>
    </xf>
    <xf numFmtId="164" fontId="4" fillId="0" borderId="0" xfId="3" applyNumberFormat="1" applyFont="1" applyAlignment="1">
      <alignment horizontal="center"/>
    </xf>
    <xf numFmtId="5" fontId="4" fillId="0" borderId="0" xfId="0" applyNumberFormat="1" applyFont="1" applyAlignment="1">
      <alignment horizontal="center" vertical="center"/>
    </xf>
    <xf numFmtId="164" fontId="5" fillId="0" borderId="0" xfId="0" applyNumberFormat="1" applyFont="1"/>
    <xf numFmtId="3" fontId="5" fillId="0" borderId="0" xfId="0" applyNumberFormat="1" applyFont="1"/>
    <xf numFmtId="42" fontId="5" fillId="0" borderId="0" xfId="1" applyNumberFormat="1" applyFont="1"/>
    <xf numFmtId="0" fontId="6" fillId="0" borderId="0" xfId="0" applyFont="1" applyAlignment="1">
      <alignment horizontal="center"/>
    </xf>
    <xf numFmtId="5" fontId="5" fillId="0" borderId="1" xfId="1" applyNumberFormat="1" applyFont="1" applyFill="1" applyBorder="1" applyAlignment="1">
      <alignment horizontal="center" vertical="center"/>
    </xf>
    <xf numFmtId="166" fontId="0" fillId="0" borderId="0" xfId="0" applyNumberFormat="1" applyProtection="1">
      <protection locked="0"/>
    </xf>
    <xf numFmtId="165" fontId="5" fillId="0" borderId="1" xfId="0" applyNumberFormat="1" applyFont="1" applyBorder="1" applyAlignment="1">
      <alignment horizontal="center" vertical="center"/>
    </xf>
    <xf numFmtId="0" fontId="5" fillId="0" borderId="0" xfId="3" applyFont="1" applyAlignment="1">
      <alignment vertical="center" wrapText="1"/>
    </xf>
    <xf numFmtId="6" fontId="5" fillId="0" borderId="0" xfId="0" applyNumberFormat="1" applyFont="1" applyAlignment="1">
      <alignment horizontal="left"/>
    </xf>
    <xf numFmtId="164" fontId="5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right"/>
    </xf>
    <xf numFmtId="9" fontId="5" fillId="0" borderId="4" xfId="5" applyFont="1" applyBorder="1"/>
    <xf numFmtId="165" fontId="5" fillId="0" borderId="0" xfId="0" applyNumberFormat="1" applyFont="1"/>
    <xf numFmtId="0" fontId="4" fillId="0" borderId="0" xfId="0" applyFont="1" applyAlignment="1">
      <alignment horizontal="right"/>
    </xf>
    <xf numFmtId="0" fontId="5" fillId="0" borderId="2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49" fontId="7" fillId="0" borderId="0" xfId="0" applyNumberFormat="1" applyFont="1" applyAlignment="1">
      <alignment horizontal="right"/>
    </xf>
    <xf numFmtId="0" fontId="5" fillId="0" borderId="2" xfId="0" applyFont="1" applyBorder="1" applyAlignment="1">
      <alignment horizontal="center"/>
    </xf>
  </cellXfs>
  <cellStyles count="6">
    <cellStyle name="Currency" xfId="1" builtinId="4"/>
    <cellStyle name="Currency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Percent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00C6-D370-4167-B603-DE62277D543A}">
  <sheetPr>
    <pageSetUpPr fitToPage="1"/>
  </sheetPr>
  <dimension ref="A1:T47"/>
  <sheetViews>
    <sheetView tabSelected="1" view="pageLayout" zoomScaleNormal="160" workbookViewId="0">
      <selection activeCell="M26" sqref="M26"/>
    </sheetView>
  </sheetViews>
  <sheetFormatPr defaultColWidth="9.140625" defaultRowHeight="15" x14ac:dyDescent="0.25"/>
  <cols>
    <col min="1" max="1" width="9.85546875" style="3" customWidth="1"/>
    <col min="2" max="2" width="24.140625" style="3" customWidth="1"/>
    <col min="3" max="3" width="12.5703125" style="3" customWidth="1"/>
    <col min="4" max="4" width="12.28515625" style="3" customWidth="1"/>
    <col min="5" max="5" width="11.5703125" style="3" customWidth="1"/>
    <col min="6" max="6" width="9.5703125" style="3" customWidth="1"/>
    <col min="7" max="9" width="11.7109375" style="3" customWidth="1"/>
    <col min="10" max="10" width="12.28515625" style="3" customWidth="1"/>
    <col min="11" max="11" width="10.28515625" style="3" customWidth="1"/>
    <col min="12" max="12" width="11.28515625" style="17" customWidth="1"/>
    <col min="13" max="13" width="14.5703125" style="3" customWidth="1"/>
    <col min="14" max="14" width="11.85546875" style="3" customWidth="1"/>
    <col min="15" max="15" width="12.5703125" style="3" customWidth="1"/>
    <col min="16" max="16384" width="9.140625" style="3"/>
  </cols>
  <sheetData>
    <row r="1" spans="1:18" ht="30" x14ac:dyDescent="0.25">
      <c r="A1" s="1" t="s">
        <v>0</v>
      </c>
      <c r="B1" s="1" t="s">
        <v>4</v>
      </c>
      <c r="C1" s="1" t="s">
        <v>12</v>
      </c>
      <c r="D1" s="1" t="s">
        <v>11</v>
      </c>
      <c r="E1" s="2" t="s">
        <v>19</v>
      </c>
      <c r="F1" s="2" t="s">
        <v>21</v>
      </c>
      <c r="G1" s="2" t="s">
        <v>20</v>
      </c>
      <c r="H1" s="1" t="s">
        <v>5</v>
      </c>
      <c r="I1" s="1" t="s">
        <v>6</v>
      </c>
      <c r="J1" s="1" t="s">
        <v>16</v>
      </c>
      <c r="K1" s="1" t="s">
        <v>17</v>
      </c>
      <c r="L1" s="1" t="s">
        <v>18</v>
      </c>
      <c r="M1" s="1" t="s">
        <v>9</v>
      </c>
      <c r="N1" s="1" t="s">
        <v>7</v>
      </c>
      <c r="O1" s="1" t="s">
        <v>10</v>
      </c>
      <c r="P1" s="2" t="s">
        <v>8</v>
      </c>
      <c r="Q1" s="2" t="s">
        <v>13</v>
      </c>
    </row>
    <row r="2" spans="1:18" ht="12.75" customHeight="1" x14ac:dyDescent="0.25">
      <c r="A2" s="4">
        <v>1</v>
      </c>
      <c r="B2" s="4" t="s">
        <v>23</v>
      </c>
      <c r="C2" s="4" t="s">
        <v>33</v>
      </c>
      <c r="D2" s="4">
        <v>1987</v>
      </c>
      <c r="E2" s="21" t="s">
        <v>34</v>
      </c>
      <c r="F2" s="21" t="s">
        <v>34</v>
      </c>
      <c r="G2" s="21" t="s">
        <v>34</v>
      </c>
      <c r="H2" s="4">
        <v>2</v>
      </c>
      <c r="I2" s="4">
        <v>8</v>
      </c>
      <c r="J2" s="5">
        <f>(4338*0.9)*2</f>
        <v>7808.4000000000005</v>
      </c>
      <c r="K2" s="5">
        <v>0</v>
      </c>
      <c r="L2" s="5">
        <f t="shared" ref="L2:L16" si="0">SUM(J2:K2)</f>
        <v>7808.4000000000005</v>
      </c>
      <c r="M2" s="5" t="s">
        <v>35</v>
      </c>
      <c r="N2" s="23">
        <v>288.40944406077347</v>
      </c>
      <c r="O2" s="26">
        <f t="shared" ref="O2:O16" si="1">L2*N2</f>
        <v>2252016.3030041438</v>
      </c>
      <c r="P2" s="6">
        <f>I2*551*12</f>
        <v>52896</v>
      </c>
      <c r="Q2" s="6">
        <v>0</v>
      </c>
      <c r="R2" s="22"/>
    </row>
    <row r="3" spans="1:18" ht="12.75" customHeight="1" x14ac:dyDescent="0.25">
      <c r="A3" s="4">
        <v>2</v>
      </c>
      <c r="B3" s="4" t="s">
        <v>23</v>
      </c>
      <c r="C3" s="4" t="s">
        <v>33</v>
      </c>
      <c r="D3" s="4">
        <v>1987</v>
      </c>
      <c r="E3" s="21" t="s">
        <v>34</v>
      </c>
      <c r="F3" s="21" t="s">
        <v>34</v>
      </c>
      <c r="G3" s="21" t="s">
        <v>34</v>
      </c>
      <c r="H3" s="4">
        <v>2</v>
      </c>
      <c r="I3" s="4">
        <v>4</v>
      </c>
      <c r="J3" s="5">
        <f>(2735*0.9)*2</f>
        <v>4923</v>
      </c>
      <c r="K3" s="5">
        <v>0</v>
      </c>
      <c r="L3" s="5">
        <f t="shared" si="0"/>
        <v>4923</v>
      </c>
      <c r="M3" s="5" t="s">
        <v>35</v>
      </c>
      <c r="N3" s="23">
        <v>288.40944406077347</v>
      </c>
      <c r="O3" s="26">
        <f t="shared" si="1"/>
        <v>1419839.6931111878</v>
      </c>
      <c r="P3" s="6">
        <f t="shared" ref="P3:P7" si="2">I3*551*12</f>
        <v>26448</v>
      </c>
      <c r="Q3" s="6">
        <v>0</v>
      </c>
      <c r="R3" s="22"/>
    </row>
    <row r="4" spans="1:18" ht="12.75" customHeight="1" x14ac:dyDescent="0.25">
      <c r="A4" s="4">
        <v>3</v>
      </c>
      <c r="B4" s="4" t="s">
        <v>23</v>
      </c>
      <c r="C4" s="4" t="s">
        <v>33</v>
      </c>
      <c r="D4" s="4">
        <v>1987</v>
      </c>
      <c r="E4" s="21" t="s">
        <v>34</v>
      </c>
      <c r="F4" s="21" t="s">
        <v>34</v>
      </c>
      <c r="G4" s="21" t="s">
        <v>34</v>
      </c>
      <c r="H4" s="4">
        <v>2</v>
      </c>
      <c r="I4" s="4">
        <v>8</v>
      </c>
      <c r="J4" s="5">
        <f>(4878*0.9)*2</f>
        <v>8780.4</v>
      </c>
      <c r="K4" s="5">
        <v>0</v>
      </c>
      <c r="L4" s="5">
        <f t="shared" si="0"/>
        <v>8780.4</v>
      </c>
      <c r="M4" s="5" t="s">
        <v>35</v>
      </c>
      <c r="N4" s="23">
        <v>288.40944406077347</v>
      </c>
      <c r="O4" s="26">
        <f t="shared" si="1"/>
        <v>2532350.2826312152</v>
      </c>
      <c r="P4" s="6">
        <f t="shared" si="2"/>
        <v>52896</v>
      </c>
      <c r="Q4" s="6">
        <v>0</v>
      </c>
      <c r="R4" s="22"/>
    </row>
    <row r="5" spans="1:18" ht="12.75" customHeight="1" x14ac:dyDescent="0.25">
      <c r="A5" s="4">
        <v>4</v>
      </c>
      <c r="B5" s="4" t="s">
        <v>23</v>
      </c>
      <c r="C5" s="4" t="s">
        <v>33</v>
      </c>
      <c r="D5" s="4">
        <v>1987</v>
      </c>
      <c r="E5" s="21" t="s">
        <v>34</v>
      </c>
      <c r="F5" s="21" t="s">
        <v>34</v>
      </c>
      <c r="G5" s="21" t="s">
        <v>34</v>
      </c>
      <c r="H5" s="4">
        <v>2</v>
      </c>
      <c r="I5" s="4">
        <v>6</v>
      </c>
      <c r="J5" s="5">
        <f>(3575*0.9)*2</f>
        <v>6435</v>
      </c>
      <c r="K5" s="5">
        <v>0</v>
      </c>
      <c r="L5" s="5">
        <f t="shared" si="0"/>
        <v>6435</v>
      </c>
      <c r="M5" s="5" t="s">
        <v>35</v>
      </c>
      <c r="N5" s="23">
        <v>288.40944406077347</v>
      </c>
      <c r="O5" s="26">
        <f t="shared" si="1"/>
        <v>1855914.7725310773</v>
      </c>
      <c r="P5" s="6">
        <f t="shared" si="2"/>
        <v>39672</v>
      </c>
      <c r="Q5" s="6">
        <v>0</v>
      </c>
      <c r="R5" s="22"/>
    </row>
    <row r="6" spans="1:18" ht="12.75" customHeight="1" x14ac:dyDescent="0.25">
      <c r="A6" s="4">
        <v>5</v>
      </c>
      <c r="B6" s="4" t="s">
        <v>23</v>
      </c>
      <c r="C6" s="4" t="s">
        <v>33</v>
      </c>
      <c r="D6" s="4">
        <v>1987</v>
      </c>
      <c r="E6" s="21" t="s">
        <v>34</v>
      </c>
      <c r="F6" s="21" t="s">
        <v>34</v>
      </c>
      <c r="G6" s="21" t="s">
        <v>34</v>
      </c>
      <c r="H6" s="4">
        <v>2</v>
      </c>
      <c r="I6" s="4">
        <v>8</v>
      </c>
      <c r="J6" s="5">
        <f>(4879*0.9)*2</f>
        <v>8782.2000000000007</v>
      </c>
      <c r="K6" s="5">
        <v>0</v>
      </c>
      <c r="L6" s="5">
        <f t="shared" si="0"/>
        <v>8782.2000000000007</v>
      </c>
      <c r="M6" s="5" t="s">
        <v>35</v>
      </c>
      <c r="N6" s="23">
        <v>288.40944406077347</v>
      </c>
      <c r="O6" s="26">
        <f t="shared" si="1"/>
        <v>2532869.4196305252</v>
      </c>
      <c r="P6" s="6">
        <f t="shared" si="2"/>
        <v>52896</v>
      </c>
      <c r="Q6" s="6">
        <v>0</v>
      </c>
      <c r="R6" s="22"/>
    </row>
    <row r="7" spans="1:18" ht="12.75" customHeight="1" x14ac:dyDescent="0.25">
      <c r="A7" s="4">
        <v>6</v>
      </c>
      <c r="B7" s="4" t="s">
        <v>23</v>
      </c>
      <c r="C7" s="4" t="s">
        <v>33</v>
      </c>
      <c r="D7" s="4">
        <v>1987</v>
      </c>
      <c r="E7" s="21" t="s">
        <v>34</v>
      </c>
      <c r="F7" s="21" t="s">
        <v>34</v>
      </c>
      <c r="G7" s="21" t="s">
        <v>34</v>
      </c>
      <c r="H7" s="4">
        <v>2</v>
      </c>
      <c r="I7" s="4">
        <v>4</v>
      </c>
      <c r="J7" s="5">
        <f>(2763*0.9)*2</f>
        <v>4973.4000000000005</v>
      </c>
      <c r="K7" s="5">
        <v>0</v>
      </c>
      <c r="L7" s="5">
        <f t="shared" si="0"/>
        <v>4973.4000000000005</v>
      </c>
      <c r="M7" s="5" t="s">
        <v>35</v>
      </c>
      <c r="N7" s="23">
        <v>288.40944406077347</v>
      </c>
      <c r="O7" s="26">
        <f t="shared" si="1"/>
        <v>1434375.5290918509</v>
      </c>
      <c r="P7" s="6">
        <v>26622</v>
      </c>
      <c r="Q7" s="6">
        <v>0</v>
      </c>
      <c r="R7" s="22"/>
    </row>
    <row r="8" spans="1:18" ht="12.75" customHeight="1" x14ac:dyDescent="0.25">
      <c r="A8" s="4">
        <v>7</v>
      </c>
      <c r="B8" s="4" t="s">
        <v>24</v>
      </c>
      <c r="C8" s="4" t="s">
        <v>33</v>
      </c>
      <c r="D8" s="4">
        <v>1987</v>
      </c>
      <c r="E8" s="21" t="s">
        <v>34</v>
      </c>
      <c r="F8" s="21" t="s">
        <v>34</v>
      </c>
      <c r="G8" s="21" t="s">
        <v>34</v>
      </c>
      <c r="H8" s="4">
        <v>1</v>
      </c>
      <c r="I8" s="4">
        <v>0</v>
      </c>
      <c r="J8" s="5">
        <v>0</v>
      </c>
      <c r="K8" s="5">
        <v>726</v>
      </c>
      <c r="L8" s="5">
        <f t="shared" si="0"/>
        <v>726</v>
      </c>
      <c r="M8" s="5" t="s">
        <v>36</v>
      </c>
      <c r="N8" s="23">
        <v>98.52424156506946</v>
      </c>
      <c r="O8" s="26">
        <f t="shared" si="1"/>
        <v>71528.599376240425</v>
      </c>
      <c r="P8" s="6">
        <v>0</v>
      </c>
      <c r="Q8" s="6">
        <v>0</v>
      </c>
      <c r="R8" s="22"/>
    </row>
    <row r="9" spans="1:18" ht="12.75" customHeight="1" x14ac:dyDescent="0.25">
      <c r="A9" s="4">
        <v>8</v>
      </c>
      <c r="B9" s="4" t="s">
        <v>25</v>
      </c>
      <c r="C9" s="4" t="s">
        <v>33</v>
      </c>
      <c r="D9" s="4">
        <v>1987</v>
      </c>
      <c r="E9" s="21" t="s">
        <v>34</v>
      </c>
      <c r="F9" s="21" t="s">
        <v>34</v>
      </c>
      <c r="G9" s="21" t="s">
        <v>34</v>
      </c>
      <c r="H9" s="4">
        <v>1</v>
      </c>
      <c r="I9" s="4">
        <v>0</v>
      </c>
      <c r="J9" s="5">
        <v>0</v>
      </c>
      <c r="K9" s="5">
        <v>726</v>
      </c>
      <c r="L9" s="5">
        <f t="shared" si="0"/>
        <v>726</v>
      </c>
      <c r="M9" s="5" t="s">
        <v>36</v>
      </c>
      <c r="N9" s="23">
        <v>98.52424156506946</v>
      </c>
      <c r="O9" s="26">
        <f t="shared" si="1"/>
        <v>71528.599376240425</v>
      </c>
      <c r="P9" s="6">
        <v>0</v>
      </c>
      <c r="Q9" s="6">
        <v>0</v>
      </c>
      <c r="R9" s="22"/>
    </row>
    <row r="10" spans="1:18" ht="12.75" customHeight="1" x14ac:dyDescent="0.25">
      <c r="A10" s="4">
        <v>9</v>
      </c>
      <c r="B10" s="4" t="s">
        <v>26</v>
      </c>
      <c r="C10" s="4" t="s">
        <v>33</v>
      </c>
      <c r="D10" s="4">
        <v>1987</v>
      </c>
      <c r="E10" s="21" t="s">
        <v>34</v>
      </c>
      <c r="F10" s="21" t="s">
        <v>34</v>
      </c>
      <c r="G10" s="21" t="s">
        <v>34</v>
      </c>
      <c r="H10" s="4">
        <v>1</v>
      </c>
      <c r="I10" s="4">
        <v>0</v>
      </c>
      <c r="J10" s="5">
        <v>0</v>
      </c>
      <c r="K10" s="5">
        <v>726</v>
      </c>
      <c r="L10" s="5">
        <f t="shared" si="0"/>
        <v>726</v>
      </c>
      <c r="M10" s="5" t="s">
        <v>36</v>
      </c>
      <c r="N10" s="23">
        <v>98.52424156506946</v>
      </c>
      <c r="O10" s="26">
        <f t="shared" si="1"/>
        <v>71528.599376240425</v>
      </c>
      <c r="P10" s="6">
        <v>0</v>
      </c>
      <c r="Q10" s="6">
        <v>0</v>
      </c>
      <c r="R10" s="22"/>
    </row>
    <row r="11" spans="1:18" ht="12.75" customHeight="1" x14ac:dyDescent="0.25">
      <c r="A11" s="4">
        <v>10</v>
      </c>
      <c r="B11" s="4" t="s">
        <v>27</v>
      </c>
      <c r="C11" s="4" t="s">
        <v>33</v>
      </c>
      <c r="D11" s="4">
        <v>1987</v>
      </c>
      <c r="E11" s="21" t="s">
        <v>34</v>
      </c>
      <c r="F11" s="21" t="s">
        <v>34</v>
      </c>
      <c r="G11" s="21" t="s">
        <v>34</v>
      </c>
      <c r="H11" s="4">
        <v>1</v>
      </c>
      <c r="I11" s="4">
        <v>0</v>
      </c>
      <c r="J11" s="5">
        <v>0</v>
      </c>
      <c r="K11" s="5">
        <v>752</v>
      </c>
      <c r="L11" s="5">
        <f t="shared" si="0"/>
        <v>752</v>
      </c>
      <c r="M11" s="5" t="s">
        <v>36</v>
      </c>
      <c r="N11" s="23">
        <v>98.52424156506946</v>
      </c>
      <c r="O11" s="26">
        <f t="shared" si="1"/>
        <v>74090.229656932235</v>
      </c>
      <c r="P11" s="6">
        <v>0</v>
      </c>
      <c r="Q11" s="6">
        <v>0</v>
      </c>
      <c r="R11" s="22"/>
    </row>
    <row r="12" spans="1:18" ht="12.75" customHeight="1" x14ac:dyDescent="0.25">
      <c r="A12" s="4">
        <v>11</v>
      </c>
      <c r="B12" s="4" t="s">
        <v>28</v>
      </c>
      <c r="C12" s="4" t="s">
        <v>33</v>
      </c>
      <c r="D12" s="4">
        <v>1987</v>
      </c>
      <c r="E12" s="21" t="s">
        <v>34</v>
      </c>
      <c r="F12" s="21" t="s">
        <v>34</v>
      </c>
      <c r="G12" s="21" t="s">
        <v>34</v>
      </c>
      <c r="H12" s="4">
        <v>1</v>
      </c>
      <c r="I12" s="4">
        <v>0</v>
      </c>
      <c r="J12" s="5">
        <v>0</v>
      </c>
      <c r="K12" s="5">
        <v>758</v>
      </c>
      <c r="L12" s="5">
        <f t="shared" si="0"/>
        <v>758</v>
      </c>
      <c r="M12" s="5" t="s">
        <v>36</v>
      </c>
      <c r="N12" s="23">
        <v>98.52424156506946</v>
      </c>
      <c r="O12" s="26">
        <f t="shared" si="1"/>
        <v>74681.375106322652</v>
      </c>
      <c r="P12" s="6">
        <v>0</v>
      </c>
      <c r="Q12" s="6">
        <v>0</v>
      </c>
      <c r="R12" s="22"/>
    </row>
    <row r="13" spans="1:18" ht="12.75" customHeight="1" x14ac:dyDescent="0.25">
      <c r="A13" s="4">
        <v>12</v>
      </c>
      <c r="B13" s="4" t="s">
        <v>29</v>
      </c>
      <c r="C13" s="4" t="s">
        <v>33</v>
      </c>
      <c r="D13" s="4">
        <v>1987</v>
      </c>
      <c r="E13" s="21" t="s">
        <v>34</v>
      </c>
      <c r="F13" s="21" t="s">
        <v>34</v>
      </c>
      <c r="G13" s="21" t="s">
        <v>34</v>
      </c>
      <c r="H13" s="4">
        <v>1</v>
      </c>
      <c r="I13" s="4">
        <v>0</v>
      </c>
      <c r="J13" s="5">
        <v>0</v>
      </c>
      <c r="K13" s="5">
        <v>1112</v>
      </c>
      <c r="L13" s="5">
        <f t="shared" si="0"/>
        <v>1112</v>
      </c>
      <c r="M13" s="5" t="s">
        <v>36</v>
      </c>
      <c r="N13" s="23">
        <v>98.52424156506946</v>
      </c>
      <c r="O13" s="26">
        <f t="shared" si="1"/>
        <v>109558.95662035723</v>
      </c>
      <c r="P13" s="6">
        <v>0</v>
      </c>
      <c r="Q13" s="6">
        <v>0</v>
      </c>
      <c r="R13" s="22"/>
    </row>
    <row r="14" spans="1:18" ht="12.75" customHeight="1" x14ac:dyDescent="0.25">
      <c r="A14" s="4">
        <v>13</v>
      </c>
      <c r="B14" s="4" t="s">
        <v>30</v>
      </c>
      <c r="C14" s="4" t="s">
        <v>33</v>
      </c>
      <c r="D14" s="4">
        <v>1987</v>
      </c>
      <c r="E14" s="21" t="s">
        <v>34</v>
      </c>
      <c r="F14" s="21" t="s">
        <v>34</v>
      </c>
      <c r="G14" s="21" t="s">
        <v>34</v>
      </c>
      <c r="H14" s="4">
        <v>1</v>
      </c>
      <c r="I14" s="4">
        <v>0</v>
      </c>
      <c r="J14" s="5">
        <v>0</v>
      </c>
      <c r="K14" s="5">
        <v>1112</v>
      </c>
      <c r="L14" s="5">
        <f t="shared" si="0"/>
        <v>1112</v>
      </c>
      <c r="M14" s="5" t="s">
        <v>36</v>
      </c>
      <c r="N14" s="23">
        <v>98.52424156506946</v>
      </c>
      <c r="O14" s="26">
        <f t="shared" si="1"/>
        <v>109558.95662035723</v>
      </c>
      <c r="P14" s="6">
        <v>0</v>
      </c>
      <c r="Q14" s="6">
        <v>0</v>
      </c>
      <c r="R14" s="22"/>
    </row>
    <row r="15" spans="1:18" ht="12.75" customHeight="1" x14ac:dyDescent="0.25">
      <c r="A15" s="4">
        <v>14</v>
      </c>
      <c r="B15" s="4" t="s">
        <v>31</v>
      </c>
      <c r="C15" s="4" t="s">
        <v>33</v>
      </c>
      <c r="D15" s="4">
        <v>1987</v>
      </c>
      <c r="E15" s="21" t="s">
        <v>34</v>
      </c>
      <c r="F15" s="21" t="s">
        <v>34</v>
      </c>
      <c r="G15" s="21" t="s">
        <v>34</v>
      </c>
      <c r="H15" s="4">
        <v>1</v>
      </c>
      <c r="I15" s="4">
        <v>0</v>
      </c>
      <c r="J15" s="5">
        <v>0</v>
      </c>
      <c r="K15" s="5">
        <v>405</v>
      </c>
      <c r="L15" s="5">
        <f t="shared" si="0"/>
        <v>405</v>
      </c>
      <c r="M15" s="5" t="s">
        <v>36</v>
      </c>
      <c r="N15" s="23">
        <v>98.52424156506946</v>
      </c>
      <c r="O15" s="26">
        <f t="shared" si="1"/>
        <v>39902.317833853129</v>
      </c>
      <c r="P15" s="6">
        <v>0</v>
      </c>
      <c r="Q15" s="6">
        <v>0</v>
      </c>
      <c r="R15" s="22"/>
    </row>
    <row r="16" spans="1:18" ht="12.75" customHeight="1" x14ac:dyDescent="0.25">
      <c r="A16" s="4">
        <v>15</v>
      </c>
      <c r="B16" s="4" t="s">
        <v>32</v>
      </c>
      <c r="C16" s="4" t="s">
        <v>33</v>
      </c>
      <c r="D16" s="4">
        <v>1987</v>
      </c>
      <c r="E16" s="21" t="s">
        <v>34</v>
      </c>
      <c r="F16" s="21" t="s">
        <v>34</v>
      </c>
      <c r="G16" s="21" t="s">
        <v>34</v>
      </c>
      <c r="H16" s="4">
        <v>1</v>
      </c>
      <c r="I16" s="4">
        <v>0</v>
      </c>
      <c r="J16" s="5">
        <v>0</v>
      </c>
      <c r="K16" s="5">
        <v>737</v>
      </c>
      <c r="L16" s="5">
        <f t="shared" si="0"/>
        <v>737</v>
      </c>
      <c r="M16" s="5" t="s">
        <v>36</v>
      </c>
      <c r="N16" s="23">
        <v>98.52424156506946</v>
      </c>
      <c r="O16" s="26">
        <f t="shared" si="1"/>
        <v>72612.366033456186</v>
      </c>
      <c r="P16" s="6">
        <v>0</v>
      </c>
      <c r="Q16" s="6">
        <v>0</v>
      </c>
      <c r="R16" s="22"/>
    </row>
    <row r="17" spans="1:20" ht="12.75" customHeight="1" x14ac:dyDescent="0.25">
      <c r="A17" s="8"/>
      <c r="C17" s="9"/>
      <c r="D17" s="8"/>
      <c r="H17" s="7"/>
      <c r="I17" s="7"/>
      <c r="J17" s="7"/>
      <c r="K17" s="10"/>
      <c r="L17" s="10"/>
      <c r="M17" s="11"/>
      <c r="N17" s="12"/>
      <c r="P17" s="18"/>
      <c r="Q17" s="18"/>
      <c r="R17" s="22"/>
    </row>
    <row r="18" spans="1:20" ht="12.75" customHeight="1" x14ac:dyDescent="0.25">
      <c r="B18" s="13" t="s">
        <v>37</v>
      </c>
      <c r="I18" s="13">
        <f>SUM(I2:I16)</f>
        <v>38</v>
      </c>
      <c r="J18" s="14">
        <f>SUM(J2:J16)</f>
        <v>41702.400000000001</v>
      </c>
      <c r="K18" s="14">
        <f>SUM(K2:K16)</f>
        <v>7054</v>
      </c>
      <c r="L18" s="14">
        <f>SUM(L2:L16)</f>
        <v>48756.4</v>
      </c>
      <c r="M18" s="14"/>
      <c r="O18" s="15">
        <f>SUM(O2:O16)</f>
        <v>12722356.000000004</v>
      </c>
      <c r="P18" s="16">
        <f>SUM(P2:P16)</f>
        <v>251430</v>
      </c>
      <c r="Q18" s="16">
        <f>SUM(Q2:Q16)</f>
        <v>0</v>
      </c>
      <c r="R18" s="22"/>
    </row>
    <row r="19" spans="1:20" ht="12.75" customHeight="1" x14ac:dyDescent="0.25">
      <c r="F19" s="18"/>
      <c r="J19" s="19"/>
      <c r="R19" s="22"/>
    </row>
    <row r="20" spans="1:20" ht="12.75" customHeight="1" thickBot="1" x14ac:dyDescent="0.3">
      <c r="D20" s="20"/>
      <c r="R20" s="22"/>
    </row>
    <row r="21" spans="1:20" ht="12.75" customHeight="1" thickBot="1" x14ac:dyDescent="0.3">
      <c r="D21" s="20"/>
      <c r="K21" s="31" t="s">
        <v>15</v>
      </c>
      <c r="L21" s="31"/>
      <c r="M21" s="29">
        <v>0.23</v>
      </c>
      <c r="R21" s="22"/>
    </row>
    <row r="22" spans="1:20" ht="12.75" customHeight="1" x14ac:dyDescent="0.25">
      <c r="G22" s="18"/>
      <c r="J22" s="27"/>
      <c r="K22" s="34" t="s">
        <v>22</v>
      </c>
      <c r="L22" s="34"/>
      <c r="N22" s="34"/>
      <c r="O22" s="34"/>
      <c r="R22" s="22"/>
    </row>
    <row r="23" spans="1:20" ht="12.75" customHeight="1" x14ac:dyDescent="0.25">
      <c r="J23" s="27"/>
      <c r="K23" s="3" t="s">
        <v>38</v>
      </c>
      <c r="N23" s="25"/>
      <c r="R23" s="22"/>
      <c r="T23" s="24"/>
    </row>
    <row r="24" spans="1:20" ht="12.75" customHeight="1" x14ac:dyDescent="0.25">
      <c r="A24" s="8"/>
      <c r="B24" s="17"/>
      <c r="L24" s="3"/>
      <c r="R24" s="22"/>
      <c r="T24" s="24"/>
    </row>
    <row r="25" spans="1:20" ht="12.75" customHeight="1" x14ac:dyDescent="0.25">
      <c r="A25" s="28" t="s">
        <v>1</v>
      </c>
      <c r="B25" s="32"/>
      <c r="C25" s="32"/>
      <c r="L25" s="3"/>
      <c r="R25" s="22"/>
      <c r="T25" s="24"/>
    </row>
    <row r="26" spans="1:20" x14ac:dyDescent="0.25">
      <c r="B26" s="33" t="s">
        <v>3</v>
      </c>
      <c r="C26" s="33"/>
      <c r="O26" s="18"/>
    </row>
    <row r="27" spans="1:20" x14ac:dyDescent="0.25">
      <c r="B27" s="20"/>
      <c r="C27" s="20"/>
    </row>
    <row r="28" spans="1:20" x14ac:dyDescent="0.25">
      <c r="A28" s="28" t="s">
        <v>2</v>
      </c>
      <c r="B28" s="35"/>
      <c r="C28" s="35"/>
      <c r="N28" s="17"/>
      <c r="O28" s="30"/>
      <c r="P28" s="30"/>
    </row>
    <row r="29" spans="1:20" x14ac:dyDescent="0.25">
      <c r="B29" s="33" t="s">
        <v>14</v>
      </c>
      <c r="C29" s="33"/>
      <c r="N29" s="17"/>
      <c r="O29" s="30"/>
      <c r="P29" s="30"/>
    </row>
    <row r="30" spans="1:20" x14ac:dyDescent="0.25">
      <c r="N30" s="17"/>
      <c r="O30" s="30"/>
      <c r="P30" s="30"/>
    </row>
    <row r="31" spans="1:20" x14ac:dyDescent="0.25">
      <c r="N31" s="17"/>
      <c r="O31" s="30"/>
      <c r="P31" s="30"/>
    </row>
    <row r="32" spans="1:20" x14ac:dyDescent="0.25">
      <c r="N32" s="17"/>
      <c r="O32" s="30"/>
      <c r="P32" s="30"/>
    </row>
    <row r="33" spans="14:16" x14ac:dyDescent="0.25">
      <c r="N33" s="17"/>
      <c r="O33" s="30"/>
      <c r="P33" s="30"/>
    </row>
    <row r="34" spans="14:16" x14ac:dyDescent="0.25">
      <c r="N34" s="17"/>
      <c r="O34" s="30"/>
      <c r="P34" s="30"/>
    </row>
    <row r="35" spans="14:16" x14ac:dyDescent="0.25">
      <c r="N35" s="17"/>
      <c r="O35" s="30"/>
      <c r="P35" s="30"/>
    </row>
    <row r="36" spans="14:16" x14ac:dyDescent="0.25">
      <c r="N36" s="17"/>
      <c r="O36" s="30"/>
      <c r="P36" s="30"/>
    </row>
    <row r="37" spans="14:16" x14ac:dyDescent="0.25">
      <c r="N37" s="17"/>
      <c r="O37" s="30"/>
      <c r="P37" s="30"/>
    </row>
    <row r="38" spans="14:16" x14ac:dyDescent="0.25">
      <c r="N38" s="17"/>
      <c r="O38" s="30"/>
      <c r="P38" s="30"/>
    </row>
    <row r="39" spans="14:16" x14ac:dyDescent="0.25">
      <c r="N39" s="17"/>
      <c r="O39" s="30"/>
      <c r="P39" s="30"/>
    </row>
    <row r="40" spans="14:16" x14ac:dyDescent="0.25">
      <c r="N40" s="17"/>
      <c r="O40" s="30"/>
      <c r="P40" s="30"/>
    </row>
    <row r="41" spans="14:16" x14ac:dyDescent="0.25">
      <c r="N41" s="17"/>
      <c r="O41" s="30"/>
      <c r="P41" s="30"/>
    </row>
    <row r="42" spans="14:16" x14ac:dyDescent="0.25">
      <c r="N42" s="17"/>
      <c r="O42" s="30"/>
      <c r="P42" s="30"/>
    </row>
    <row r="43" spans="14:16" x14ac:dyDescent="0.25">
      <c r="N43" s="30"/>
      <c r="O43" s="30"/>
      <c r="P43" s="30"/>
    </row>
    <row r="44" spans="14:16" x14ac:dyDescent="0.25">
      <c r="N44" s="30"/>
      <c r="O44" s="30"/>
      <c r="P44" s="30"/>
    </row>
    <row r="45" spans="14:16" x14ac:dyDescent="0.25">
      <c r="N45" s="30"/>
      <c r="O45" s="30"/>
      <c r="P45" s="30"/>
    </row>
    <row r="46" spans="14:16" x14ac:dyDescent="0.25">
      <c r="N46" s="30"/>
      <c r="O46" s="30"/>
      <c r="P46" s="30"/>
    </row>
    <row r="47" spans="14:16" x14ac:dyDescent="0.25">
      <c r="N47" s="30"/>
      <c r="O47" s="30"/>
      <c r="P47" s="30"/>
    </row>
  </sheetData>
  <mergeCells count="7">
    <mergeCell ref="B29:C29"/>
    <mergeCell ref="K21:L21"/>
    <mergeCell ref="K22:L22"/>
    <mergeCell ref="N22:O22"/>
    <mergeCell ref="B25:C25"/>
    <mergeCell ref="B26:C26"/>
    <mergeCell ref="B28:C28"/>
  </mergeCells>
  <pageMargins left="0.25" right="0.25" top="0.75" bottom="0.75" header="0.3" footer="0.3"/>
  <pageSetup scale="65" fitToHeight="0" orientation="landscape" r:id="rId1"/>
  <headerFooter alignWithMargins="0">
    <oddHeader>&amp;L&amp;"Arial,Bold"Issaquah Village&amp;C&amp;"-,Bold"&amp;14 2025 Statement of Values&amp;R&amp;"-,Regular"&amp;11The Partners Group, LLC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7"/>
  <sheetViews>
    <sheetView view="pageLayout" topLeftCell="B1" zoomScaleNormal="160" workbookViewId="0">
      <selection activeCell="O29" sqref="O29"/>
    </sheetView>
  </sheetViews>
  <sheetFormatPr defaultColWidth="9.140625" defaultRowHeight="15" x14ac:dyDescent="0.25"/>
  <cols>
    <col min="1" max="1" width="9.85546875" style="3" customWidth="1"/>
    <col min="2" max="2" width="24.140625" style="3" customWidth="1"/>
    <col min="3" max="3" width="12.5703125" style="3" customWidth="1"/>
    <col min="4" max="4" width="12.28515625" style="3" customWidth="1"/>
    <col min="5" max="5" width="11.5703125" style="3" customWidth="1"/>
    <col min="6" max="6" width="9.5703125" style="3" customWidth="1"/>
    <col min="7" max="9" width="11.7109375" style="3" customWidth="1"/>
    <col min="10" max="10" width="12.28515625" style="3" customWidth="1"/>
    <col min="11" max="11" width="10.28515625" style="3" customWidth="1"/>
    <col min="12" max="12" width="11.28515625" style="17" customWidth="1"/>
    <col min="13" max="13" width="14.5703125" style="3" customWidth="1"/>
    <col min="14" max="14" width="11.85546875" style="3" customWidth="1"/>
    <col min="15" max="15" width="12.5703125" style="3" customWidth="1"/>
    <col min="16" max="16384" width="9.140625" style="3"/>
  </cols>
  <sheetData>
    <row r="1" spans="1:18" ht="30" x14ac:dyDescent="0.25">
      <c r="A1" s="1" t="s">
        <v>0</v>
      </c>
      <c r="B1" s="1" t="s">
        <v>4</v>
      </c>
      <c r="C1" s="1" t="s">
        <v>12</v>
      </c>
      <c r="D1" s="1" t="s">
        <v>11</v>
      </c>
      <c r="E1" s="2" t="s">
        <v>19</v>
      </c>
      <c r="F1" s="2" t="s">
        <v>21</v>
      </c>
      <c r="G1" s="2" t="s">
        <v>20</v>
      </c>
      <c r="H1" s="1" t="s">
        <v>5</v>
      </c>
      <c r="I1" s="1" t="s">
        <v>6</v>
      </c>
      <c r="J1" s="1" t="s">
        <v>16</v>
      </c>
      <c r="K1" s="1" t="s">
        <v>17</v>
      </c>
      <c r="L1" s="1" t="s">
        <v>18</v>
      </c>
      <c r="M1" s="1" t="s">
        <v>9</v>
      </c>
      <c r="N1" s="1" t="s">
        <v>7</v>
      </c>
      <c r="O1" s="1" t="s">
        <v>10</v>
      </c>
      <c r="P1" s="2" t="s">
        <v>8</v>
      </c>
      <c r="Q1" s="2" t="s">
        <v>13</v>
      </c>
    </row>
    <row r="2" spans="1:18" ht="12.75" customHeight="1" x14ac:dyDescent="0.25">
      <c r="A2" s="4">
        <v>1</v>
      </c>
      <c r="B2" s="4" t="s">
        <v>23</v>
      </c>
      <c r="C2" s="4" t="s">
        <v>33</v>
      </c>
      <c r="D2" s="4">
        <v>1987</v>
      </c>
      <c r="E2" s="21" t="s">
        <v>34</v>
      </c>
      <c r="F2" s="21" t="s">
        <v>34</v>
      </c>
      <c r="G2" s="21" t="s">
        <v>34</v>
      </c>
      <c r="H2" s="4">
        <v>2</v>
      </c>
      <c r="I2" s="4">
        <v>8</v>
      </c>
      <c r="J2" s="5">
        <f>(4338*0.9)*2</f>
        <v>7808.4000000000005</v>
      </c>
      <c r="K2" s="5">
        <v>0</v>
      </c>
      <c r="L2" s="5">
        <f t="shared" ref="L2:L16" si="0">SUM(J2:K2)</f>
        <v>7808.4000000000005</v>
      </c>
      <c r="M2" s="5" t="s">
        <v>35</v>
      </c>
      <c r="N2" s="23">
        <v>288.40944406077347</v>
      </c>
      <c r="O2" s="26">
        <f t="shared" ref="O2:O16" si="1">L2*N2</f>
        <v>2252016.3030041438</v>
      </c>
      <c r="P2" s="6">
        <f>I2*500*12</f>
        <v>48000</v>
      </c>
      <c r="Q2" s="6">
        <v>0</v>
      </c>
      <c r="R2" s="22"/>
    </row>
    <row r="3" spans="1:18" ht="12.75" customHeight="1" x14ac:dyDescent="0.25">
      <c r="A3" s="4">
        <v>2</v>
      </c>
      <c r="B3" s="4" t="s">
        <v>23</v>
      </c>
      <c r="C3" s="4" t="s">
        <v>33</v>
      </c>
      <c r="D3" s="4">
        <v>1987</v>
      </c>
      <c r="E3" s="21" t="s">
        <v>34</v>
      </c>
      <c r="F3" s="21" t="s">
        <v>34</v>
      </c>
      <c r="G3" s="21" t="s">
        <v>34</v>
      </c>
      <c r="H3" s="4">
        <v>2</v>
      </c>
      <c r="I3" s="4">
        <v>4</v>
      </c>
      <c r="J3" s="5">
        <f>(2735*0.9)*2</f>
        <v>4923</v>
      </c>
      <c r="K3" s="5">
        <v>0</v>
      </c>
      <c r="L3" s="5">
        <f t="shared" si="0"/>
        <v>4923</v>
      </c>
      <c r="M3" s="5" t="s">
        <v>35</v>
      </c>
      <c r="N3" s="23">
        <v>288.40944406077347</v>
      </c>
      <c r="O3" s="26">
        <f t="shared" si="1"/>
        <v>1419839.6931111878</v>
      </c>
      <c r="P3" s="6">
        <f t="shared" ref="P3:P7" si="2">I3*500*12</f>
        <v>24000</v>
      </c>
      <c r="Q3" s="6">
        <v>0</v>
      </c>
      <c r="R3" s="22"/>
    </row>
    <row r="4" spans="1:18" ht="12.75" customHeight="1" x14ac:dyDescent="0.25">
      <c r="A4" s="4">
        <v>3</v>
      </c>
      <c r="B4" s="4" t="s">
        <v>23</v>
      </c>
      <c r="C4" s="4" t="s">
        <v>33</v>
      </c>
      <c r="D4" s="4">
        <v>1987</v>
      </c>
      <c r="E4" s="21" t="s">
        <v>34</v>
      </c>
      <c r="F4" s="21" t="s">
        <v>34</v>
      </c>
      <c r="G4" s="21" t="s">
        <v>34</v>
      </c>
      <c r="H4" s="4">
        <v>2</v>
      </c>
      <c r="I4" s="4">
        <v>8</v>
      </c>
      <c r="J4" s="5">
        <f>(4878*0.9)*2</f>
        <v>8780.4</v>
      </c>
      <c r="K4" s="5">
        <v>0</v>
      </c>
      <c r="L4" s="5">
        <f t="shared" si="0"/>
        <v>8780.4</v>
      </c>
      <c r="M4" s="5" t="s">
        <v>35</v>
      </c>
      <c r="N4" s="23">
        <v>288.40944406077347</v>
      </c>
      <c r="O4" s="26">
        <f t="shared" si="1"/>
        <v>2532350.2826312152</v>
      </c>
      <c r="P4" s="6">
        <f t="shared" si="2"/>
        <v>48000</v>
      </c>
      <c r="Q4" s="6">
        <v>0</v>
      </c>
      <c r="R4" s="22"/>
    </row>
    <row r="5" spans="1:18" ht="12.75" customHeight="1" x14ac:dyDescent="0.25">
      <c r="A5" s="4">
        <v>4</v>
      </c>
      <c r="B5" s="4" t="s">
        <v>23</v>
      </c>
      <c r="C5" s="4" t="s">
        <v>33</v>
      </c>
      <c r="D5" s="4">
        <v>1987</v>
      </c>
      <c r="E5" s="21" t="s">
        <v>34</v>
      </c>
      <c r="F5" s="21" t="s">
        <v>34</v>
      </c>
      <c r="G5" s="21" t="s">
        <v>34</v>
      </c>
      <c r="H5" s="4">
        <v>2</v>
      </c>
      <c r="I5" s="4">
        <v>6</v>
      </c>
      <c r="J5" s="5">
        <f>(3575*0.9)*2</f>
        <v>6435</v>
      </c>
      <c r="K5" s="5">
        <v>0</v>
      </c>
      <c r="L5" s="5">
        <f t="shared" si="0"/>
        <v>6435</v>
      </c>
      <c r="M5" s="5" t="s">
        <v>35</v>
      </c>
      <c r="N5" s="23">
        <v>288.40944406077347</v>
      </c>
      <c r="O5" s="26">
        <f t="shared" si="1"/>
        <v>1855914.7725310773</v>
      </c>
      <c r="P5" s="6">
        <f t="shared" si="2"/>
        <v>36000</v>
      </c>
      <c r="Q5" s="6">
        <v>0</v>
      </c>
      <c r="R5" s="22"/>
    </row>
    <row r="6" spans="1:18" ht="12.75" customHeight="1" x14ac:dyDescent="0.25">
      <c r="A6" s="4">
        <v>5</v>
      </c>
      <c r="B6" s="4" t="s">
        <v>23</v>
      </c>
      <c r="C6" s="4" t="s">
        <v>33</v>
      </c>
      <c r="D6" s="4">
        <v>1987</v>
      </c>
      <c r="E6" s="21" t="s">
        <v>34</v>
      </c>
      <c r="F6" s="21" t="s">
        <v>34</v>
      </c>
      <c r="G6" s="21" t="s">
        <v>34</v>
      </c>
      <c r="H6" s="4">
        <v>2</v>
      </c>
      <c r="I6" s="4">
        <v>8</v>
      </c>
      <c r="J6" s="5">
        <f>(4879*0.9)*2</f>
        <v>8782.2000000000007</v>
      </c>
      <c r="K6" s="5">
        <v>0</v>
      </c>
      <c r="L6" s="5">
        <f t="shared" si="0"/>
        <v>8782.2000000000007</v>
      </c>
      <c r="M6" s="5" t="s">
        <v>35</v>
      </c>
      <c r="N6" s="23">
        <v>288.40944406077347</v>
      </c>
      <c r="O6" s="26">
        <f t="shared" si="1"/>
        <v>2532869.4196305252</v>
      </c>
      <c r="P6" s="6">
        <f t="shared" si="2"/>
        <v>48000</v>
      </c>
      <c r="Q6" s="6">
        <v>0</v>
      </c>
      <c r="R6" s="22"/>
    </row>
    <row r="7" spans="1:18" ht="12.75" customHeight="1" x14ac:dyDescent="0.25">
      <c r="A7" s="4">
        <v>6</v>
      </c>
      <c r="B7" s="4" t="s">
        <v>23</v>
      </c>
      <c r="C7" s="4" t="s">
        <v>33</v>
      </c>
      <c r="D7" s="4">
        <v>1987</v>
      </c>
      <c r="E7" s="21" t="s">
        <v>34</v>
      </c>
      <c r="F7" s="21" t="s">
        <v>34</v>
      </c>
      <c r="G7" s="21" t="s">
        <v>34</v>
      </c>
      <c r="H7" s="4">
        <v>2</v>
      </c>
      <c r="I7" s="4">
        <v>4</v>
      </c>
      <c r="J7" s="5">
        <f>(2763*0.9)*2</f>
        <v>4973.4000000000005</v>
      </c>
      <c r="K7" s="5">
        <v>0</v>
      </c>
      <c r="L7" s="5">
        <f t="shared" si="0"/>
        <v>4973.4000000000005</v>
      </c>
      <c r="M7" s="5" t="s">
        <v>35</v>
      </c>
      <c r="N7" s="23">
        <v>288.40944406077347</v>
      </c>
      <c r="O7" s="26">
        <f t="shared" si="1"/>
        <v>1434375.5290918509</v>
      </c>
      <c r="P7" s="6">
        <f t="shared" si="2"/>
        <v>24000</v>
      </c>
      <c r="Q7" s="6">
        <v>0</v>
      </c>
      <c r="R7" s="22"/>
    </row>
    <row r="8" spans="1:18" ht="12.75" customHeight="1" x14ac:dyDescent="0.25">
      <c r="A8" s="4">
        <v>7</v>
      </c>
      <c r="B8" s="4" t="s">
        <v>24</v>
      </c>
      <c r="C8" s="4" t="s">
        <v>33</v>
      </c>
      <c r="D8" s="4">
        <v>1987</v>
      </c>
      <c r="E8" s="21" t="s">
        <v>34</v>
      </c>
      <c r="F8" s="21" t="s">
        <v>34</v>
      </c>
      <c r="G8" s="21" t="s">
        <v>34</v>
      </c>
      <c r="H8" s="4">
        <v>1</v>
      </c>
      <c r="I8" s="4">
        <v>0</v>
      </c>
      <c r="J8" s="5">
        <v>0</v>
      </c>
      <c r="K8" s="5">
        <v>726</v>
      </c>
      <c r="L8" s="5">
        <f t="shared" si="0"/>
        <v>726</v>
      </c>
      <c r="M8" s="5" t="s">
        <v>36</v>
      </c>
      <c r="N8" s="23">
        <v>98.52424156506946</v>
      </c>
      <c r="O8" s="26">
        <f t="shared" si="1"/>
        <v>71528.599376240425</v>
      </c>
      <c r="P8" s="6">
        <v>0</v>
      </c>
      <c r="Q8" s="6">
        <v>0</v>
      </c>
      <c r="R8" s="22"/>
    </row>
    <row r="9" spans="1:18" ht="12.75" customHeight="1" x14ac:dyDescent="0.25">
      <c r="A9" s="4">
        <v>8</v>
      </c>
      <c r="B9" s="4" t="s">
        <v>25</v>
      </c>
      <c r="C9" s="4" t="s">
        <v>33</v>
      </c>
      <c r="D9" s="4">
        <v>1987</v>
      </c>
      <c r="E9" s="21" t="s">
        <v>34</v>
      </c>
      <c r="F9" s="21" t="s">
        <v>34</v>
      </c>
      <c r="G9" s="21" t="s">
        <v>34</v>
      </c>
      <c r="H9" s="4">
        <v>1</v>
      </c>
      <c r="I9" s="4">
        <v>0</v>
      </c>
      <c r="J9" s="5">
        <v>0</v>
      </c>
      <c r="K9" s="5">
        <v>726</v>
      </c>
      <c r="L9" s="5">
        <f t="shared" si="0"/>
        <v>726</v>
      </c>
      <c r="M9" s="5" t="s">
        <v>36</v>
      </c>
      <c r="N9" s="23">
        <v>98.52424156506946</v>
      </c>
      <c r="O9" s="26">
        <f t="shared" si="1"/>
        <v>71528.599376240425</v>
      </c>
      <c r="P9" s="6">
        <v>0</v>
      </c>
      <c r="Q9" s="6">
        <v>0</v>
      </c>
      <c r="R9" s="22"/>
    </row>
    <row r="10" spans="1:18" ht="12.75" customHeight="1" x14ac:dyDescent="0.25">
      <c r="A10" s="4">
        <v>9</v>
      </c>
      <c r="B10" s="4" t="s">
        <v>26</v>
      </c>
      <c r="C10" s="4" t="s">
        <v>33</v>
      </c>
      <c r="D10" s="4">
        <v>1987</v>
      </c>
      <c r="E10" s="21" t="s">
        <v>34</v>
      </c>
      <c r="F10" s="21" t="s">
        <v>34</v>
      </c>
      <c r="G10" s="21" t="s">
        <v>34</v>
      </c>
      <c r="H10" s="4">
        <v>1</v>
      </c>
      <c r="I10" s="4">
        <v>0</v>
      </c>
      <c r="J10" s="5">
        <v>0</v>
      </c>
      <c r="K10" s="5">
        <v>726</v>
      </c>
      <c r="L10" s="5">
        <f t="shared" si="0"/>
        <v>726</v>
      </c>
      <c r="M10" s="5" t="s">
        <v>36</v>
      </c>
      <c r="N10" s="23">
        <v>98.52424156506946</v>
      </c>
      <c r="O10" s="26">
        <f t="shared" si="1"/>
        <v>71528.599376240425</v>
      </c>
      <c r="P10" s="6">
        <v>0</v>
      </c>
      <c r="Q10" s="6">
        <v>0</v>
      </c>
      <c r="R10" s="22"/>
    </row>
    <row r="11" spans="1:18" ht="12.75" customHeight="1" x14ac:dyDescent="0.25">
      <c r="A11" s="4">
        <v>10</v>
      </c>
      <c r="B11" s="4" t="s">
        <v>27</v>
      </c>
      <c r="C11" s="4" t="s">
        <v>33</v>
      </c>
      <c r="D11" s="4">
        <v>1987</v>
      </c>
      <c r="E11" s="21" t="s">
        <v>34</v>
      </c>
      <c r="F11" s="21" t="s">
        <v>34</v>
      </c>
      <c r="G11" s="21" t="s">
        <v>34</v>
      </c>
      <c r="H11" s="4">
        <v>1</v>
      </c>
      <c r="I11" s="4">
        <v>0</v>
      </c>
      <c r="J11" s="5">
        <v>0</v>
      </c>
      <c r="K11" s="5">
        <v>752</v>
      </c>
      <c r="L11" s="5">
        <f t="shared" si="0"/>
        <v>752</v>
      </c>
      <c r="M11" s="5" t="s">
        <v>36</v>
      </c>
      <c r="N11" s="23">
        <v>98.52424156506946</v>
      </c>
      <c r="O11" s="26">
        <f t="shared" si="1"/>
        <v>74090.229656932235</v>
      </c>
      <c r="P11" s="6">
        <v>0</v>
      </c>
      <c r="Q11" s="6">
        <v>0</v>
      </c>
      <c r="R11" s="22"/>
    </row>
    <row r="12" spans="1:18" ht="12.75" customHeight="1" x14ac:dyDescent="0.25">
      <c r="A12" s="4">
        <v>11</v>
      </c>
      <c r="B12" s="4" t="s">
        <v>28</v>
      </c>
      <c r="C12" s="4" t="s">
        <v>33</v>
      </c>
      <c r="D12" s="4">
        <v>1987</v>
      </c>
      <c r="E12" s="21" t="s">
        <v>34</v>
      </c>
      <c r="F12" s="21" t="s">
        <v>34</v>
      </c>
      <c r="G12" s="21" t="s">
        <v>34</v>
      </c>
      <c r="H12" s="4">
        <v>1</v>
      </c>
      <c r="I12" s="4">
        <v>0</v>
      </c>
      <c r="J12" s="5">
        <v>0</v>
      </c>
      <c r="K12" s="5">
        <v>758</v>
      </c>
      <c r="L12" s="5">
        <f t="shared" si="0"/>
        <v>758</v>
      </c>
      <c r="M12" s="5" t="s">
        <v>36</v>
      </c>
      <c r="N12" s="23">
        <v>98.52424156506946</v>
      </c>
      <c r="O12" s="26">
        <f t="shared" si="1"/>
        <v>74681.375106322652</v>
      </c>
      <c r="P12" s="6">
        <v>0</v>
      </c>
      <c r="Q12" s="6">
        <v>0</v>
      </c>
      <c r="R12" s="22"/>
    </row>
    <row r="13" spans="1:18" ht="12.75" customHeight="1" x14ac:dyDescent="0.25">
      <c r="A13" s="4">
        <v>12</v>
      </c>
      <c r="B13" s="4" t="s">
        <v>29</v>
      </c>
      <c r="C13" s="4" t="s">
        <v>33</v>
      </c>
      <c r="D13" s="4">
        <v>1987</v>
      </c>
      <c r="E13" s="21" t="s">
        <v>34</v>
      </c>
      <c r="F13" s="21" t="s">
        <v>34</v>
      </c>
      <c r="G13" s="21" t="s">
        <v>34</v>
      </c>
      <c r="H13" s="4">
        <v>1</v>
      </c>
      <c r="I13" s="4">
        <v>0</v>
      </c>
      <c r="J13" s="5">
        <v>0</v>
      </c>
      <c r="K13" s="5">
        <v>1112</v>
      </c>
      <c r="L13" s="5">
        <f t="shared" si="0"/>
        <v>1112</v>
      </c>
      <c r="M13" s="5" t="s">
        <v>36</v>
      </c>
      <c r="N13" s="23">
        <v>98.52424156506946</v>
      </c>
      <c r="O13" s="26">
        <f t="shared" si="1"/>
        <v>109558.95662035723</v>
      </c>
      <c r="P13" s="6">
        <v>0</v>
      </c>
      <c r="Q13" s="6">
        <v>0</v>
      </c>
      <c r="R13" s="22"/>
    </row>
    <row r="14" spans="1:18" ht="12.75" customHeight="1" x14ac:dyDescent="0.25">
      <c r="A14" s="4">
        <v>13</v>
      </c>
      <c r="B14" s="4" t="s">
        <v>30</v>
      </c>
      <c r="C14" s="4" t="s">
        <v>33</v>
      </c>
      <c r="D14" s="4">
        <v>1987</v>
      </c>
      <c r="E14" s="21" t="s">
        <v>34</v>
      </c>
      <c r="F14" s="21" t="s">
        <v>34</v>
      </c>
      <c r="G14" s="21" t="s">
        <v>34</v>
      </c>
      <c r="H14" s="4">
        <v>1</v>
      </c>
      <c r="I14" s="4">
        <v>0</v>
      </c>
      <c r="J14" s="5">
        <v>0</v>
      </c>
      <c r="K14" s="5">
        <v>1112</v>
      </c>
      <c r="L14" s="5">
        <f t="shared" si="0"/>
        <v>1112</v>
      </c>
      <c r="M14" s="5" t="s">
        <v>36</v>
      </c>
      <c r="N14" s="23">
        <v>98.52424156506946</v>
      </c>
      <c r="O14" s="26">
        <f t="shared" si="1"/>
        <v>109558.95662035723</v>
      </c>
      <c r="P14" s="6">
        <v>0</v>
      </c>
      <c r="Q14" s="6">
        <v>0</v>
      </c>
      <c r="R14" s="22"/>
    </row>
    <row r="15" spans="1:18" ht="12.75" customHeight="1" x14ac:dyDescent="0.25">
      <c r="A15" s="4">
        <v>14</v>
      </c>
      <c r="B15" s="4" t="s">
        <v>31</v>
      </c>
      <c r="C15" s="4" t="s">
        <v>33</v>
      </c>
      <c r="D15" s="4">
        <v>1987</v>
      </c>
      <c r="E15" s="21" t="s">
        <v>34</v>
      </c>
      <c r="F15" s="21" t="s">
        <v>34</v>
      </c>
      <c r="G15" s="21" t="s">
        <v>34</v>
      </c>
      <c r="H15" s="4">
        <v>1</v>
      </c>
      <c r="I15" s="4">
        <v>0</v>
      </c>
      <c r="J15" s="5">
        <v>0</v>
      </c>
      <c r="K15" s="5">
        <v>405</v>
      </c>
      <c r="L15" s="5">
        <f t="shared" si="0"/>
        <v>405</v>
      </c>
      <c r="M15" s="5" t="s">
        <v>36</v>
      </c>
      <c r="N15" s="23">
        <v>98.52424156506946</v>
      </c>
      <c r="O15" s="26">
        <f t="shared" si="1"/>
        <v>39902.317833853129</v>
      </c>
      <c r="P15" s="6">
        <v>0</v>
      </c>
      <c r="Q15" s="6">
        <v>0</v>
      </c>
      <c r="R15" s="22"/>
    </row>
    <row r="16" spans="1:18" ht="12.75" customHeight="1" x14ac:dyDescent="0.25">
      <c r="A16" s="4">
        <v>15</v>
      </c>
      <c r="B16" s="4" t="s">
        <v>32</v>
      </c>
      <c r="C16" s="4" t="s">
        <v>33</v>
      </c>
      <c r="D16" s="4">
        <v>1987</v>
      </c>
      <c r="E16" s="21" t="s">
        <v>34</v>
      </c>
      <c r="F16" s="21" t="s">
        <v>34</v>
      </c>
      <c r="G16" s="21" t="s">
        <v>34</v>
      </c>
      <c r="H16" s="4">
        <v>1</v>
      </c>
      <c r="I16" s="4">
        <v>0</v>
      </c>
      <c r="J16" s="5">
        <v>0</v>
      </c>
      <c r="K16" s="5">
        <v>737</v>
      </c>
      <c r="L16" s="5">
        <f t="shared" si="0"/>
        <v>737</v>
      </c>
      <c r="M16" s="5" t="s">
        <v>36</v>
      </c>
      <c r="N16" s="23">
        <v>98.52424156506946</v>
      </c>
      <c r="O16" s="26">
        <f t="shared" si="1"/>
        <v>72612.366033456186</v>
      </c>
      <c r="P16" s="6">
        <v>0</v>
      </c>
      <c r="Q16" s="6">
        <v>0</v>
      </c>
      <c r="R16" s="22"/>
    </row>
    <row r="17" spans="1:20" ht="12.75" customHeight="1" x14ac:dyDescent="0.25">
      <c r="A17" s="8"/>
      <c r="C17" s="9"/>
      <c r="D17" s="8"/>
      <c r="H17" s="7"/>
      <c r="I17" s="7"/>
      <c r="J17" s="7"/>
      <c r="K17" s="10"/>
      <c r="L17" s="10"/>
      <c r="M17" s="11"/>
      <c r="N17" s="12"/>
      <c r="P17" s="18"/>
      <c r="Q17" s="18"/>
      <c r="R17" s="22"/>
    </row>
    <row r="18" spans="1:20" ht="12.75" customHeight="1" x14ac:dyDescent="0.25">
      <c r="B18" s="13" t="s">
        <v>37</v>
      </c>
      <c r="I18" s="13">
        <f>SUM(I2:I16)</f>
        <v>38</v>
      </c>
      <c r="J18" s="14">
        <f>SUM(J2:J16)</f>
        <v>41702.400000000001</v>
      </c>
      <c r="K18" s="14">
        <f>SUM(K2:K16)</f>
        <v>7054</v>
      </c>
      <c r="L18" s="14">
        <f>SUM(L2:L16)</f>
        <v>48756.4</v>
      </c>
      <c r="M18" s="14"/>
      <c r="O18" s="15">
        <f>SUM(O2:O16)</f>
        <v>12722356.000000004</v>
      </c>
      <c r="P18" s="16">
        <f>SUM(P2:P16)</f>
        <v>228000</v>
      </c>
      <c r="Q18" s="16">
        <f>SUM(Q2:Q16)</f>
        <v>0</v>
      </c>
      <c r="R18" s="22"/>
    </row>
    <row r="19" spans="1:20" ht="12.75" customHeight="1" x14ac:dyDescent="0.25">
      <c r="F19" s="18"/>
      <c r="J19" s="19"/>
      <c r="R19" s="22"/>
    </row>
    <row r="20" spans="1:20" ht="12.75" customHeight="1" thickBot="1" x14ac:dyDescent="0.3">
      <c r="D20" s="20"/>
      <c r="R20" s="22"/>
    </row>
    <row r="21" spans="1:20" ht="12.75" customHeight="1" thickBot="1" x14ac:dyDescent="0.3">
      <c r="D21" s="20"/>
      <c r="K21" s="31" t="s">
        <v>15</v>
      </c>
      <c r="L21" s="31"/>
      <c r="M21" s="29">
        <v>0.25</v>
      </c>
      <c r="R21" s="22"/>
    </row>
    <row r="22" spans="1:20" ht="12.75" customHeight="1" x14ac:dyDescent="0.25">
      <c r="G22" s="18"/>
      <c r="J22" s="27"/>
      <c r="K22" s="34" t="s">
        <v>22</v>
      </c>
      <c r="L22" s="34"/>
      <c r="N22" s="34"/>
      <c r="O22" s="34"/>
      <c r="R22" s="22"/>
    </row>
    <row r="23" spans="1:20" ht="12.75" customHeight="1" x14ac:dyDescent="0.25">
      <c r="J23" s="27"/>
      <c r="K23" s="3" t="s">
        <v>38</v>
      </c>
      <c r="N23" s="25"/>
      <c r="R23" s="22"/>
      <c r="T23" s="24"/>
    </row>
    <row r="24" spans="1:20" ht="12.75" customHeight="1" x14ac:dyDescent="0.25">
      <c r="A24" s="8"/>
      <c r="B24" s="17"/>
      <c r="L24" s="3"/>
      <c r="R24" s="22"/>
      <c r="T24" s="24"/>
    </row>
    <row r="25" spans="1:20" ht="12.75" customHeight="1" x14ac:dyDescent="0.25">
      <c r="A25" s="28" t="s">
        <v>1</v>
      </c>
      <c r="B25" s="32"/>
      <c r="C25" s="32"/>
      <c r="L25" s="3"/>
      <c r="R25" s="22"/>
      <c r="T25" s="24"/>
    </row>
    <row r="26" spans="1:20" x14ac:dyDescent="0.25">
      <c r="B26" s="33" t="s">
        <v>3</v>
      </c>
      <c r="C26" s="33"/>
      <c r="O26" s="18"/>
    </row>
    <row r="27" spans="1:20" x14ac:dyDescent="0.25">
      <c r="B27" s="20"/>
      <c r="C27" s="20"/>
    </row>
    <row r="28" spans="1:20" x14ac:dyDescent="0.25">
      <c r="A28" s="28" t="s">
        <v>2</v>
      </c>
      <c r="B28" s="35"/>
      <c r="C28" s="35"/>
      <c r="N28" s="17"/>
      <c r="O28" s="30"/>
      <c r="P28" s="30"/>
    </row>
    <row r="29" spans="1:20" x14ac:dyDescent="0.25">
      <c r="B29" s="33" t="s">
        <v>14</v>
      </c>
      <c r="C29" s="33"/>
      <c r="N29" s="17"/>
      <c r="O29" s="30"/>
      <c r="P29" s="30"/>
    </row>
    <row r="30" spans="1:20" x14ac:dyDescent="0.25">
      <c r="N30" s="17"/>
      <c r="O30" s="30"/>
      <c r="P30" s="30"/>
    </row>
    <row r="31" spans="1:20" x14ac:dyDescent="0.25">
      <c r="N31" s="17"/>
      <c r="O31" s="30"/>
      <c r="P31" s="30"/>
    </row>
    <row r="32" spans="1:20" x14ac:dyDescent="0.25">
      <c r="N32" s="17"/>
      <c r="O32" s="30"/>
      <c r="P32" s="30"/>
    </row>
    <row r="33" spans="14:16" x14ac:dyDescent="0.25">
      <c r="N33" s="17"/>
      <c r="O33" s="30"/>
      <c r="P33" s="30"/>
    </row>
    <row r="34" spans="14:16" x14ac:dyDescent="0.25">
      <c r="N34" s="17"/>
      <c r="O34" s="30"/>
      <c r="P34" s="30"/>
    </row>
    <row r="35" spans="14:16" x14ac:dyDescent="0.25">
      <c r="N35" s="17"/>
      <c r="O35" s="30"/>
      <c r="P35" s="30"/>
    </row>
    <row r="36" spans="14:16" x14ac:dyDescent="0.25">
      <c r="N36" s="17"/>
      <c r="O36" s="30"/>
      <c r="P36" s="30"/>
    </row>
    <row r="37" spans="14:16" x14ac:dyDescent="0.25">
      <c r="N37" s="17"/>
      <c r="O37" s="30"/>
      <c r="P37" s="30"/>
    </row>
    <row r="38" spans="14:16" x14ac:dyDescent="0.25">
      <c r="N38" s="17"/>
      <c r="O38" s="30"/>
      <c r="P38" s="30"/>
    </row>
    <row r="39" spans="14:16" x14ac:dyDescent="0.25">
      <c r="N39" s="17"/>
      <c r="O39" s="30"/>
      <c r="P39" s="30"/>
    </row>
    <row r="40" spans="14:16" x14ac:dyDescent="0.25">
      <c r="N40" s="17"/>
      <c r="O40" s="30"/>
      <c r="P40" s="30"/>
    </row>
    <row r="41" spans="14:16" x14ac:dyDescent="0.25">
      <c r="N41" s="17"/>
      <c r="O41" s="30"/>
      <c r="P41" s="30"/>
    </row>
    <row r="42" spans="14:16" x14ac:dyDescent="0.25">
      <c r="N42" s="17"/>
      <c r="O42" s="30"/>
      <c r="P42" s="30"/>
    </row>
    <row r="43" spans="14:16" x14ac:dyDescent="0.25">
      <c r="N43" s="30"/>
      <c r="O43" s="30"/>
      <c r="P43" s="30"/>
    </row>
    <row r="44" spans="14:16" x14ac:dyDescent="0.25">
      <c r="N44" s="30"/>
      <c r="O44" s="30"/>
      <c r="P44" s="30"/>
    </row>
    <row r="45" spans="14:16" x14ac:dyDescent="0.25">
      <c r="N45" s="30"/>
      <c r="O45" s="30"/>
      <c r="P45" s="30"/>
    </row>
    <row r="46" spans="14:16" x14ac:dyDescent="0.25">
      <c r="N46" s="30"/>
      <c r="O46" s="30"/>
      <c r="P46" s="30"/>
    </row>
    <row r="47" spans="14:16" x14ac:dyDescent="0.25">
      <c r="N47" s="30"/>
      <c r="O47" s="30"/>
      <c r="P47" s="30"/>
    </row>
  </sheetData>
  <mergeCells count="7">
    <mergeCell ref="K21:L21"/>
    <mergeCell ref="B25:C25"/>
    <mergeCell ref="B26:C26"/>
    <mergeCell ref="B29:C29"/>
    <mergeCell ref="N22:O22"/>
    <mergeCell ref="B28:C28"/>
    <mergeCell ref="K22:L22"/>
  </mergeCells>
  <phoneticPr fontId="8" type="noConversion"/>
  <pageMargins left="0.75" right="0.75" top="1" bottom="1" header="0.5" footer="0.5"/>
  <pageSetup scale="59" fitToHeight="0" orientation="landscape" r:id="rId1"/>
  <headerFooter alignWithMargins="0">
    <oddHeader>&amp;L&amp;"Arial,Bold"Issaquah Village&amp;C&amp;"-,Bold"&amp;14 2024 Statement of Values&amp;R&amp;"-,Regular"&amp;11The Partners Group, LLC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8ee10-eba0-4365-b931-a0579a53de9b" xsi:nil="true"/>
    <lcf76f155ced4ddcb4097134ff3c332f xmlns="470779bc-cfec-46e0-a3c9-6c0e0de2e85f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68A358838B540911622A3BFBD073B" ma:contentTypeVersion="15" ma:contentTypeDescription="Create a new document." ma:contentTypeScope="" ma:versionID="24916f7b79557388a4d826735212196c">
  <xsd:schema xmlns:xsd="http://www.w3.org/2001/XMLSchema" xmlns:xs="http://www.w3.org/2001/XMLSchema" xmlns:p="http://schemas.microsoft.com/office/2006/metadata/properties" xmlns:ns2="470779bc-cfec-46e0-a3c9-6c0e0de2e85f" xmlns:ns3="5d98ee10-eba0-4365-b931-a0579a53de9b" targetNamespace="http://schemas.microsoft.com/office/2006/metadata/properties" ma:root="true" ma:fieldsID="197c369eb1c6658ae7bdbab5b759daca" ns2:_="" ns3:_="">
    <xsd:import namespace="470779bc-cfec-46e0-a3c9-6c0e0de2e85f"/>
    <xsd:import namespace="5d98ee10-eba0-4365-b931-a0579a53de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779bc-cfec-46e0-a3c9-6c0e0de2e8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6bd47ce-e9e9-4328-a1d2-2c880a06a8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8ee10-eba0-4365-b931-a0579a53de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c6d89b0-73e4-4170-9e9d-1df129497587}" ma:internalName="TaxCatchAll" ma:showField="CatchAllData" ma:web="5d98ee10-eba0-4365-b931-a0579a53de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74C7BD-9D74-4677-93C4-420FF3EF250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0F4EE9E9-0E28-401F-BA87-8715BE224A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AACB88-9881-48CB-B170-9E64FE89E6FC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470779bc-cfec-46e0-a3c9-6c0e0de2e85f"/>
    <ds:schemaRef ds:uri="5d98ee10-eba0-4365-b931-a0579a53de9b"/>
    <ds:schemaRef ds:uri="http://www.w3.org/XML/1998/namespace"/>
    <ds:schemaRef ds:uri="43b3f6d5-9047-45f1-8533-17958ba77207"/>
  </ds:schemaRefs>
</ds:datastoreItem>
</file>

<file path=customXml/itemProps4.xml><?xml version="1.0" encoding="utf-8"?>
<ds:datastoreItem xmlns:ds="http://schemas.openxmlformats.org/officeDocument/2006/customXml" ds:itemID="{1AE5D5B2-B7AC-4544-BF82-E3E1F2B3C1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Howell</dc:creator>
  <cp:lastModifiedBy>Amanda Chelemedos</cp:lastModifiedBy>
  <cp:lastPrinted>2015-05-12T18:09:20Z</cp:lastPrinted>
  <dcterms:created xsi:type="dcterms:W3CDTF">2005-07-06T22:32:45Z</dcterms:created>
  <dcterms:modified xsi:type="dcterms:W3CDTF">2025-02-06T21:39:57Z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Khalyn Kay</vt:lpwstr>
  </property>
  <property fmtid="{D5CDD505-2E9C-101B-9397-08002B2CF9AE}" pid="3" name="Order">
    <vt:lpwstr>6759800.00000000</vt:lpwstr>
  </property>
  <property fmtid="{D5CDD505-2E9C-101B-9397-08002B2CF9AE}" pid="4" name="display_urn:schemas-microsoft-com:office:office#Author">
    <vt:lpwstr>Khalyn Kay</vt:lpwstr>
  </property>
  <property fmtid="{D5CDD505-2E9C-101B-9397-08002B2CF9AE}" pid="5" name="ContentTypeId">
    <vt:lpwstr>0x010100E6168A358838B540911622A3BFBD073B</vt:lpwstr>
  </property>
  <property fmtid="{D5CDD505-2E9C-101B-9397-08002B2CF9AE}" pid="6" name="MediaServiceImageTags">
    <vt:lpwstr/>
  </property>
</Properties>
</file>